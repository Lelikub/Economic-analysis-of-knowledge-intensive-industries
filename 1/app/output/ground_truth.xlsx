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Economic analysis of knowledge‑intensive industries\1\app\output\"/>
    </mc:Choice>
  </mc:AlternateContent>
  <xr:revisionPtr revIDLastSave="0" documentId="13_ncr:1_{D4A49C96-5C63-45EE-A25E-106DF0E58B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сходные данные" sheetId="1" r:id="rId1"/>
    <sheet name="Метрики" sheetId="2" r:id="rId2"/>
    <sheet name="Затраты" sheetId="3" r:id="rId3"/>
    <sheet name="TTM" sheetId="4" r:id="rId4"/>
    <sheet name="Стресс-тест" sheetId="5" r:id="rId5"/>
    <sheet name="Сверка Excel–Python" sheetId="6" r:id="rId6"/>
    <sheet name="Harness Log" sheetId="7" r:id="rId7"/>
    <sheet name="Структура OPEX" sheetId="8" r:id="rId8"/>
    <sheet name="Допущения" sheetId="9" r:id="rId9"/>
    <sheet name="Проблемы данных" sheetId="10" r:id="rId10"/>
  </sheets>
  <definedNames>
    <definedName name="_FilterDatabase" localSheetId="6" hidden="1">'Harness Log'!$A$1:$H$8</definedName>
    <definedName name="_FilterDatabase" localSheetId="3" hidden="1">TTM!$A$1:$H$5</definedName>
    <definedName name="_FilterDatabase" localSheetId="8" hidden="1">Допущения!$A$1:$F$4</definedName>
    <definedName name="_FilterDatabase" localSheetId="2" hidden="1">Затраты!$A$1:$F$7</definedName>
    <definedName name="_FilterDatabase" localSheetId="0" hidden="1">'Исходные данные'!$A$1:$F$37</definedName>
    <definedName name="_FilterDatabase" localSheetId="1" hidden="1">Метрики!$A$1:$F$15</definedName>
    <definedName name="_FilterDatabase" localSheetId="9" hidden="1">'Проблемы данных'!$A$1:$E$4</definedName>
    <definedName name="_FilterDatabase" localSheetId="5" hidden="1">'Сверка Excel–Python'!$A$1:$I$1</definedName>
    <definedName name="_FilterDatabase" localSheetId="4" hidden="1">'Стресс-тест'!$A$1:$F$8</definedName>
    <definedName name="_FilterDatabase" localSheetId="7" hidden="1">'Структура OPEX'!$A$1:$B$6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5" l="1"/>
  <c r="C7" i="5" s="1"/>
  <c r="B6" i="5"/>
  <c r="B7" i="5" s="1"/>
  <c r="C5" i="5"/>
  <c r="B5" i="5"/>
  <c r="C3" i="5"/>
  <c r="C4" i="5" s="1"/>
  <c r="B3" i="5"/>
  <c r="B4" i="5" s="1"/>
  <c r="C2" i="5"/>
  <c r="B2" i="5"/>
  <c r="G5" i="4"/>
  <c r="C8" i="5" s="1"/>
  <c r="G4" i="4"/>
  <c r="B8" i="5" s="1"/>
  <c r="E8" i="5" s="1"/>
  <c r="G3" i="4"/>
  <c r="D15" i="2" s="1"/>
  <c r="G2" i="4"/>
  <c r="D14" i="2" s="1"/>
  <c r="D7" i="3"/>
  <c r="D3" i="3"/>
  <c r="D2" i="3"/>
  <c r="D10" i="2"/>
  <c r="D8" i="2"/>
  <c r="D5" i="2"/>
  <c r="D4" i="2"/>
  <c r="D3" i="2"/>
  <c r="D2" i="2"/>
  <c r="D6" i="2" s="1"/>
  <c r="D5" i="5" l="1"/>
  <c r="D2" i="5"/>
  <c r="D4" i="5"/>
  <c r="E5" i="5"/>
  <c r="D4" i="3"/>
  <c r="E2" i="5"/>
  <c r="D7" i="2"/>
  <c r="D9" i="2" s="1"/>
  <c r="D7" i="5"/>
  <c r="E7" i="5" s="1"/>
  <c r="D6" i="3"/>
  <c r="D12" i="2" s="1"/>
  <c r="D5" i="3"/>
  <c r="D11" i="2" s="1"/>
  <c r="D8" i="5"/>
  <c r="E4" i="5"/>
  <c r="D6" i="5"/>
  <c r="E6" i="5"/>
  <c r="D3" i="5"/>
  <c r="E3" i="5" s="1"/>
</calcChain>
</file>

<file path=xl/sharedStrings.xml><?xml version="1.0" encoding="utf-8"?>
<sst xmlns="http://schemas.openxmlformats.org/spreadsheetml/2006/main" count="507" uniqueCount="287">
  <si>
    <t>Сценарий</t>
  </si>
  <si>
    <t>Параметр</t>
  </si>
  <si>
    <t>Техническое имя CSV</t>
  </si>
  <si>
    <t>Значение</t>
  </si>
  <si>
    <t>Единица измерения</t>
  </si>
  <si>
    <t>Описание</t>
  </si>
  <si>
    <t>Базовый</t>
  </si>
  <si>
    <t>Календарное время</t>
  </si>
  <si>
    <t>Calendar_Hours</t>
  </si>
  <si>
    <t>ч</t>
  </si>
  <si>
    <t>Общее календарное время расчётного периода</t>
  </si>
  <si>
    <t>Плановое время работы</t>
  </si>
  <si>
    <t>Planned_Hours</t>
  </si>
  <si>
    <t>Запланированное время работы оборудования</t>
  </si>
  <si>
    <t>Фактическое время работы</t>
  </si>
  <si>
    <t>Actual_Hours</t>
  </si>
  <si>
    <t>Фактическое время работы оборудования</t>
  </si>
  <si>
    <t>Плановый выпуск</t>
  </si>
  <si>
    <t>Target_Output</t>
  </si>
  <si>
    <t>л</t>
  </si>
  <si>
    <t>Плановый объём выпуска</t>
  </si>
  <si>
    <t>Фактический выпуск</t>
  </si>
  <si>
    <t>Actual_Output</t>
  </si>
  <si>
    <t>Фактически обработанный объём</t>
  </si>
  <si>
    <t>Годный объём первого прохода</t>
  </si>
  <si>
    <t>First_Pass_Good_Units</t>
  </si>
  <si>
    <t>Объём, прошедший контроль с первого раза</t>
  </si>
  <si>
    <t>Итоговый годный объём</t>
  </si>
  <si>
    <t>Final_Good_Units</t>
  </si>
  <si>
    <t>Итоговый годный объём после переделки</t>
  </si>
  <si>
    <t>Затраты на сырьё</t>
  </si>
  <si>
    <t>Raw_Material_Cost</t>
  </si>
  <si>
    <t>долл. США</t>
  </si>
  <si>
    <t>Стоимость использованных сырья и материалов</t>
  </si>
  <si>
    <t>Потребление электроэнергии</t>
  </si>
  <si>
    <t>Energy_kWh</t>
  </si>
  <si>
    <t>кВт·ч</t>
  </si>
  <si>
    <t>Потребление электроэнергии за период</t>
  </si>
  <si>
    <t>Тариф на электроэнергию</t>
  </si>
  <si>
    <t>Energy_Cost_Rate</t>
  </si>
  <si>
    <t>долл. США/кВт·ч</t>
  </si>
  <si>
    <t>Стоимость одного киловатт-часа</t>
  </si>
  <si>
    <t>Капитальная стоимость оборудования</t>
  </si>
  <si>
    <t>Equipment_CAPEX</t>
  </si>
  <si>
    <t>Первоначальная стоимость оборудования</t>
  </si>
  <si>
    <t>Экономический срок амортизации</t>
  </si>
  <si>
    <t>Amortization_Years_Economic</t>
  </si>
  <si>
    <t>лет</t>
  </si>
  <si>
    <t>Экономический срок службы оборудования</t>
  </si>
  <si>
    <t>Накладные операционные расходы</t>
  </si>
  <si>
    <t>OPEX_Overhead</t>
  </si>
  <si>
    <t>долл. США/месяц</t>
  </si>
  <si>
    <t>Накладные операционные расходы за период</t>
  </si>
  <si>
    <t>Задержка вывода на рынок</t>
  </si>
  <si>
    <t>Delay_Years</t>
  </si>
  <si>
    <t>Задержка выхода продукта на рынок</t>
  </si>
  <si>
    <t>Ставка дисконтирования</t>
  </si>
  <si>
    <t>Discount_Rate</t>
  </si>
  <si>
    <t>доля</t>
  </si>
  <si>
    <t>Годовая ставка дисконтирования</t>
  </si>
  <si>
    <t>Темп ценовой эрозии</t>
  </si>
  <si>
    <t>Price_Erosion_Rate</t>
  </si>
  <si>
    <t>Годовой темп снижения рыночной цены</t>
  </si>
  <si>
    <t>Рыночный горизонт</t>
  </si>
  <si>
    <t>Market_Horizon</t>
  </si>
  <si>
    <t>Доступный горизонт продаж</t>
  </si>
  <si>
    <t>Открытость рыночного окна</t>
  </si>
  <si>
    <t>Market_Window_Open</t>
  </si>
  <si>
    <t>0 или 1</t>
  </si>
  <si>
    <t>Признак открытого рыночного окна</t>
  </si>
  <si>
    <t>Стрессовый</t>
  </si>
  <si>
    <t>Метрика</t>
  </si>
  <si>
    <t>Пояснение формулы</t>
  </si>
  <si>
    <t>Используемые параметры</t>
  </si>
  <si>
    <t>Комментарий</t>
  </si>
  <si>
    <t>Выход годных с первого прохода (FPY)</t>
  </si>
  <si>
    <t>Годный объём первого прохода / фактический выпуск</t>
  </si>
  <si>
    <t>Годный объём первого прохода; фактический выпуск</t>
  </si>
  <si>
    <t>безразмерная величина</t>
  </si>
  <si>
    <t>Доля продукции, прошедшей контроль качества без переделки</t>
  </si>
  <si>
    <t>Итоговый выход годных</t>
  </si>
  <si>
    <t>Итоговый годный объём / фактический выпуск</t>
  </si>
  <si>
    <t>Итоговый годный объём; фактический выпуск</t>
  </si>
  <si>
    <t>Учитывает годную продукцию после переделки</t>
  </si>
  <si>
    <t>Доступность оборудования</t>
  </si>
  <si>
    <t>Фактическое время работы / плановое время работы</t>
  </si>
  <si>
    <t>Фактическое время работы; плановое время работы</t>
  </si>
  <si>
    <t>Коэффициент доступности в составе OEE</t>
  </si>
  <si>
    <t>Производительность оборудования</t>
  </si>
  <si>
    <t>(Плановое время / плановый выпуск) × фактический выпуск / фактическое время</t>
  </si>
  <si>
    <t>Плановое время; плановый выпуск; фактический выпуск; фактическое время</t>
  </si>
  <si>
    <t>Нормативное время цикла рассчитано в часах на литр</t>
  </si>
  <si>
    <t>Коэффициент качества</t>
  </si>
  <si>
    <t>Коэффициент качества = FPY</t>
  </si>
  <si>
    <t>Определение коэффициента качества по лекции</t>
  </si>
  <si>
    <t>Общая эффективность оборудования (OEE)</t>
  </si>
  <si>
    <t>Доступность × производительность × качество</t>
  </si>
  <si>
    <t>Доступность; производительность; качество</t>
  </si>
  <si>
    <t>Операционная эффективность оборудования</t>
  </si>
  <si>
    <t>Использование календарного времени</t>
  </si>
  <si>
    <t>Плановое время работы / календарное время</t>
  </si>
  <si>
    <t>Плановое время работы; календарное время</t>
  </si>
  <si>
    <t>Использование доступного календарного фонда времени</t>
  </si>
  <si>
    <t>Полная эффективная производительность оборудования (TEEP)</t>
  </si>
  <si>
    <t>OEE × использование календарного времени</t>
  </si>
  <si>
    <t>OEE; использование календарного времени</t>
  </si>
  <si>
    <t>Показывает использование производственного потенциала CAPEX</t>
  </si>
  <si>
    <t>Энергетическая ресурсоёмкость</t>
  </si>
  <si>
    <t>Потребление электроэнергии / итоговый годный объём</t>
  </si>
  <si>
    <t>Потребление электроэнергии; итоговый годный объём</t>
  </si>
  <si>
    <t>кВт·ч/л</t>
  </si>
  <si>
    <t>Потребление энергии на литр итоговой годной продукции</t>
  </si>
  <si>
    <t>Экономическая ресурсоёмкость</t>
  </si>
  <si>
    <t>Общие производственные затраты / итоговый годный объём</t>
  </si>
  <si>
    <t>Общие производственные затраты; итоговый годный объём</t>
  </si>
  <si>
    <t>долл. США/л</t>
  </si>
  <si>
    <t>В данной области расчёта численно совпадает с CPU</t>
  </si>
  <si>
    <t>Себестоимость единицы продукции (CPU)</t>
  </si>
  <si>
    <t>Себестоимость литра итоговой годной продукции</t>
  </si>
  <si>
    <t>Массовая ресурсоёмкость</t>
  </si>
  <si>
    <t>Масса сырья / итоговый годный объём</t>
  </si>
  <si>
    <t>Raw_Material_Mass_kg (масса сырья)</t>
  </si>
  <si>
    <t>НЕ РАССЧИТЫВАЕТСЯ</t>
  </si>
  <si>
    <t>кг/л</t>
  </si>
  <si>
    <t>Параметр Raw_Material_Mass_kg отсутствует в исходных данных</t>
  </si>
  <si>
    <t>Штраф TTM по параметрам задания</t>
  </si>
  <si>
    <t>Мультипликативная потеря сохраняемой стоимости из-за задержки</t>
  </si>
  <si>
    <t>Параметры TTM в строке 2</t>
  </si>
  <si>
    <t>Ставка дисконтирования 10 %, ценовая эрозия 15 %, горизонт 3 года</t>
  </si>
  <si>
    <t>Штраф TTM по параметрам CSV</t>
  </si>
  <si>
    <t>Параметры TTM в строке 3</t>
  </si>
  <si>
    <t>Ставки из CSV показаны отдельным сценарием</t>
  </si>
  <si>
    <t>Затраты на электроэнергию</t>
  </si>
  <si>
    <t>Потребление электроэнергии × тариф</t>
  </si>
  <si>
    <t>Потребление электроэнергии; тариф на электроэнергию</t>
  </si>
  <si>
    <t>Затраты на покупную электроэнергию</t>
  </si>
  <si>
    <t>Ежемесячная амортизация</t>
  </si>
  <si>
    <t>CAPEX / экономический срок / 12</t>
  </si>
  <si>
    <t>Капитальная стоимость; экономический срок амортизации</t>
  </si>
  <si>
    <t>Набор данных за 30 суток принят за один месяц</t>
  </si>
  <si>
    <t>Общие производственные затраты</t>
  </si>
  <si>
    <t>Сырьё + энергия + накладные расходы + амортизация</t>
  </si>
  <si>
    <t>Исходные данные; затраты на электроэнергию; амортизация</t>
  </si>
  <si>
    <t>Прозрачная структура полной производственной стоимости</t>
  </si>
  <si>
    <t>Полная экономическая ресурсоёмкость</t>
  </si>
  <si>
    <t>Себестоимость единицы продукции</t>
  </si>
  <si>
    <t>Стоимостной показатель сырья</t>
  </si>
  <si>
    <t>Затраты на сырьё / итоговый годный объём</t>
  </si>
  <si>
    <t>Затраты на сырьё; итоговый годный объём</t>
  </si>
  <si>
    <t>Стоимостной показатель не заменяет массовую ресурсоёмкость</t>
  </si>
  <si>
    <t>Ценовая эрозия</t>
  </si>
  <si>
    <t>Рыночный горизонт, лет</t>
  </si>
  <si>
    <t>Задержка, лет</t>
  </si>
  <si>
    <t>Рыночное окно открыто</t>
  </si>
  <si>
    <t>Штраф TTM</t>
  </si>
  <si>
    <t>Параметры задания</t>
  </si>
  <si>
    <t>Параметры практического задания</t>
  </si>
  <si>
    <t>Параметры CSV</t>
  </si>
  <si>
    <t>Параметры из исходного CSV</t>
  </si>
  <si>
    <t>Базовый для стресс-теста</t>
  </si>
  <si>
    <t>Задержка из базового столбца сравнительного CSV</t>
  </si>
  <si>
    <t>Задержка из стрессового CSV</t>
  </si>
  <si>
    <t>Базовый сценарий</t>
  </si>
  <si>
    <t>Стрессовый сценарий</t>
  </si>
  <si>
    <t>Абсолютное изменение</t>
  </si>
  <si>
    <t>Относительное изменение</t>
  </si>
  <si>
    <t>Интерпретация</t>
  </si>
  <si>
    <t>Снижается доля годной продукции первого прохода</t>
  </si>
  <si>
    <t>Снижение качества уменьшает общую эффективность оборудования</t>
  </si>
  <si>
    <t>Использование календарного времени не изменяется</t>
  </si>
  <si>
    <t>Трёхкратный тариф увеличивает затраты на электроэнергию</t>
  </si>
  <si>
    <t>Рост затрат повышает стоимость ресурсов на литр годной продукции</t>
  </si>
  <si>
    <t>Численно совпадает с экономической ресурсоёмкостью в текущей области расчёта</t>
  </si>
  <si>
    <t>Штраф за задержку вывода на рынок (TTM)</t>
  </si>
  <si>
    <t>Задержка создаёт мультипликативный экономический штраф</t>
  </si>
  <si>
    <t>Значение Excel</t>
  </si>
  <si>
    <t>Значение Python</t>
  </si>
  <si>
    <t>Абсолютное отклонение</t>
  </si>
  <si>
    <t>Относительное отклонение</t>
  </si>
  <si>
    <t>Допуск</t>
  </si>
  <si>
    <t>Статус</t>
  </si>
  <si>
    <t>Вероятная причина</t>
  </si>
  <si>
    <t>Временная метка</t>
  </si>
  <si>
    <t>СОВПАДАЕТ</t>
  </si>
  <si>
    <t>2026-09-17T10:28:02.400846+00:00</t>
  </si>
  <si>
    <t>Значение Excel недоступно</t>
  </si>
  <si>
    <t>№</t>
  </si>
  <si>
    <t>Этап</t>
  </si>
  <si>
    <t>Запрос к ИИ / задача</t>
  </si>
  <si>
    <t>Сгенерированный или изменённый фрагмент кода</t>
  </si>
  <si>
    <t>Обнаруженная ошибка / галлюцинация</t>
  </si>
  <si>
    <t>Причина</t>
  </si>
  <si>
    <t>Как исправлено</t>
  </si>
  <si>
    <t>Результат повторной проверки</t>
  </si>
  <si>
    <t>Аудит показателей качества</t>
  </si>
  <si>
    <t>Развести FPY и итоговый выход годных</t>
  </si>
  <si>
    <t>fpy = first_pass_good_units / actual_output; final_yield = final_good_units / actual_output</t>
  </si>
  <si>
    <t>FPY и Final Yield могли быть ошибочно приняты за один показатель</t>
  </si>
  <si>
    <t>Итоговый годный объём включает продукцию после переделки</t>
  </si>
  <si>
    <t>Показатели реализованы и раскрыты раздельно</t>
  </si>
  <si>
    <t>Тест подтверждает FPY 75 %, Final Yield 85 %</t>
  </si>
  <si>
    <t>Аудит параметров TTM</t>
  </si>
  <si>
    <t>Сопоставить параметры задания и CSV</t>
  </si>
  <si>
    <t>assignment_ttm = ttm.calculate(delay, 0.10, 0.15, 3.0, window)</t>
  </si>
  <si>
    <t>В задании r=10 %, α=15 %, а в CSV r=12 %, α=18 %</t>
  </si>
  <si>
    <t>Исходные материалы задают разные сценарии</t>
  </si>
  <si>
    <t>Оба сценария рассчитаны и раскрыты отдельно</t>
  </si>
  <si>
    <t>Получены штрафы 26,285941 % и 28,034684 % без подмены параметров</t>
  </si>
  <si>
    <t>Стресс-сценарий TTM</t>
  </si>
  <si>
    <t>Выбрать корректную базовую задержку</t>
  </si>
  <si>
    <t>baseline_stress_ttm = ttm.calculate(comparison.delay[0], 0.10, 0.15, 3.0, window)</t>
  </si>
  <si>
    <t>Pilot CSV содержит задержку 0,5 года, comparison baseline — 0 лет</t>
  </si>
  <si>
    <t>Pilot и сравнительный baseline имеют разное назначение</t>
  </si>
  <si>
    <t>Для стресс-сравнения использован baseline comparison CSV</t>
  </si>
  <si>
    <t>Тест подтверждает изменение штрафа TTM с 0 % до 26,285941 %</t>
  </si>
  <si>
    <t>Аудит ресурсоёмкости</t>
  </si>
  <si>
    <t>Проверить вычислимость массовой ресурсоёмкости</t>
  </si>
  <si>
    <t>mass_intensity = NOT_COMPUTABLE</t>
  </si>
  <si>
    <t>Масса сырья отсутствует, а стоимость не может заменить массу</t>
  </si>
  <si>
    <t>В CSV нет Raw_Material_Mass_kg</t>
  </si>
  <si>
    <t>Метрика помечена НЕ РАССЧИТЫВАЕТСЯ, стоимостной proxy показан отдельно</t>
  </si>
  <si>
    <t>Excel и Python одинаково фиксируют одно невычислимое значение</t>
  </si>
  <si>
    <t>Пересчёт Excel</t>
  </si>
  <si>
    <t>Получить кэшированные результаты формул</t>
  </si>
  <si>
    <t>excel.CalculateFullRebuild(); workbook.Save()</t>
  </si>
  <si>
    <t>openpyxl сохраняет формулы, но не вычисляет их</t>
  </si>
  <si>
    <t>Библиотека не является движком Excel</t>
  </si>
  <si>
    <t>Добавлен реальный пересчёт установленным Microsoft Excel</t>
  </si>
  <si>
    <t>Из кэша прочитаны FPY 0,75, OEE 0,59375 и CPU 14 713,0374957</t>
  </si>
  <si>
    <t>Жизненный цикл COM</t>
  </si>
  <si>
    <t>Исключить сбой освобождения Excel COM</t>
  </si>
  <si>
    <t>subprocess.run([sys.executable, excel_worker.py, workbook_path])</t>
  </si>
  <si>
    <t>Первый интеграционный подход мог завершаться RPC_E_DISCONNECTED</t>
  </si>
  <si>
    <t>COM-прокси переживали закрытие Excel в долгоживущем процессе</t>
  </si>
  <si>
    <t>Пересчёт изолирован в короткоживущем worker-процессе</t>
  </si>
  <si>
    <t>Интеграционный тест завершается без RPC fault и с корректным кэшем</t>
  </si>
  <si>
    <t>Архитектура контрольных журналов</t>
  </si>
  <si>
    <t>Развести журнал реализации и числовую сверку</t>
  </si>
  <si>
    <t>implementation_log_entries и reconciliation_rows</t>
  </si>
  <si>
    <t>Числовая сверка была ошибочно названа Harness Log</t>
  </si>
  <si>
    <t>Два разных типа доказательств использовали одно название</t>
  </si>
  <si>
    <t>Числовая проверка переименована в «Сверка Excel–Python», Harness Log выделен отдельно</t>
  </si>
  <si>
    <t>Отчёты содержат два самостоятельных раздела и восемь обязательных артефактов</t>
  </si>
  <si>
    <t>Категория затрат</t>
  </si>
  <si>
    <t>Доля</t>
  </si>
  <si>
    <t>Сырье и прекурсоры</t>
  </si>
  <si>
    <t>Утилиты</t>
  </si>
  <si>
    <t>Персонал</t>
  </si>
  <si>
    <t>ТОиР</t>
  </si>
  <si>
    <t>Комплаенс, качество и метрология</t>
  </si>
  <si>
    <t>Код</t>
  </si>
  <si>
    <t>Допущение</t>
  </si>
  <si>
    <t>Обоснование</t>
  </si>
  <si>
    <t>Влияние</t>
  </si>
  <si>
    <t>Источник</t>
  </si>
  <si>
    <t>A01</t>
  </si>
  <si>
    <t>Расчётный период — один месяц</t>
  </si>
  <si>
    <t>Calendar_Hours = 720 = 30 × 24</t>
  </si>
  <si>
    <t>Месячная амортизация</t>
  </si>
  <si>
    <t>CSV</t>
  </si>
  <si>
    <t>Принято</t>
  </si>
  <si>
    <t>A02</t>
  </si>
  <si>
    <t>Нормативное время цикла = плановое время / плановый выпуск</t>
  </si>
  <si>
    <t>Отдельное поле отсутствует</t>
  </si>
  <si>
    <t>Производительность и OEE</t>
  </si>
  <si>
    <t>Лекция + CSV</t>
  </si>
  <si>
    <t>A03</t>
  </si>
  <si>
    <t>Знаменатель CPU — итоговый годный объём</t>
  </si>
  <si>
    <t>Это объём после итогового контроля</t>
  </si>
  <si>
    <t>CPU и ресурсоёмкость</t>
  </si>
  <si>
    <t>Лекция + задание</t>
  </si>
  <si>
    <t>Проблема</t>
  </si>
  <si>
    <t>Критичность</t>
  </si>
  <si>
    <t>Рекомендуемое действие</t>
  </si>
  <si>
    <t>Отсутствует масса сырья</t>
  </si>
  <si>
    <t>Raw_Material_Mass_kg</t>
  </si>
  <si>
    <t>ВЫСОКАЯ</t>
  </si>
  <si>
    <t>Массовая ресурсоёмкость не рассчитывается</t>
  </si>
  <si>
    <t>Добавить массу потреблённого сырья в килограммах</t>
  </si>
  <si>
    <t>Параметры TTM расходятся</t>
  </si>
  <si>
    <t>Discount_Rate; Price_Erosion_Rate</t>
  </si>
  <si>
    <t>СРЕДНЯЯ</t>
  </si>
  <si>
    <t>Получаются разные штрафы TTM</t>
  </si>
  <si>
    <t>Показывать сценарии задания и CSV отдельно</t>
  </si>
  <si>
    <t>Задержка пилотного сценария отличается от базового comparison CSV</t>
  </si>
  <si>
    <t>Пилотный сценарий не является сценарием без задержки</t>
  </si>
  <si>
    <t>Использовать comparison CSV для проверки стресс-сценария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</si>
</sst>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Структура OPEX в высокотехнологичном производстве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'Структура OPEX'!$B$1</c:f>
              <c:strCache>
                <c:ptCount val="1"/>
                <c:pt idx="0">
                  <c:v>Доля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'Структура OPEX'!$A$2:$A$6</c:f>
              <c:strCache>
                <c:ptCount val="5"/>
                <c:pt idx="0">
                  <c:v>Сырье и прекурсоры</c:v>
                </c:pt>
                <c:pt idx="1">
                  <c:v>Утилиты</c:v>
                </c:pt>
                <c:pt idx="2">
                  <c:v>Персонал</c:v>
                </c:pt>
                <c:pt idx="3">
                  <c:v>ТОиР</c:v>
                </c:pt>
                <c:pt idx="4">
                  <c:v>Комплаенс, качество и метрология</c:v>
                </c:pt>
              </c:strCache>
            </c:strRef>
          </c:cat>
          <c:val>
            <c:numRef>
              <c:f>'Структура OPEX'!$B$2:$B$6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0.3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5-4F98-B757-E66A9AA8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Категория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Доля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16325850" cy="8991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36" customWidth="1"/>
    <col min="4" max="4" width="18" customWidth="1"/>
    <col min="5" max="5" width="24" customWidth="1"/>
    <col min="6" max="6" width="6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720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  <c r="D3">
        <v>480</v>
      </c>
      <c r="E3" t="s">
        <v>9</v>
      </c>
      <c r="F3" t="s">
        <v>13</v>
      </c>
    </row>
    <row r="4" spans="1:6" x14ac:dyDescent="0.3">
      <c r="A4" t="s">
        <v>6</v>
      </c>
      <c r="B4" t="s">
        <v>14</v>
      </c>
      <c r="C4" t="s">
        <v>15</v>
      </c>
      <c r="D4">
        <v>390</v>
      </c>
      <c r="E4" t="s">
        <v>9</v>
      </c>
      <c r="F4" t="s">
        <v>16</v>
      </c>
    </row>
    <row r="5" spans="1:6" x14ac:dyDescent="0.3">
      <c r="A5" t="s">
        <v>6</v>
      </c>
      <c r="B5" t="s">
        <v>17</v>
      </c>
      <c r="C5" t="s">
        <v>18</v>
      </c>
      <c r="D5">
        <v>120</v>
      </c>
      <c r="E5" t="s">
        <v>19</v>
      </c>
      <c r="F5" t="s">
        <v>20</v>
      </c>
    </row>
    <row r="6" spans="1:6" x14ac:dyDescent="0.3">
      <c r="A6" t="s">
        <v>6</v>
      </c>
      <c r="B6" t="s">
        <v>21</v>
      </c>
      <c r="C6" t="s">
        <v>22</v>
      </c>
      <c r="D6">
        <v>95</v>
      </c>
      <c r="E6" t="s">
        <v>19</v>
      </c>
      <c r="F6" t="s">
        <v>23</v>
      </c>
    </row>
    <row r="7" spans="1:6" x14ac:dyDescent="0.3">
      <c r="A7" t="s">
        <v>6</v>
      </c>
      <c r="B7" t="s">
        <v>24</v>
      </c>
      <c r="C7" t="s">
        <v>25</v>
      </c>
      <c r="D7">
        <v>71.25</v>
      </c>
      <c r="E7" t="s">
        <v>19</v>
      </c>
      <c r="F7" t="s">
        <v>26</v>
      </c>
    </row>
    <row r="8" spans="1:6" x14ac:dyDescent="0.3">
      <c r="A8" t="s">
        <v>6</v>
      </c>
      <c r="B8" t="s">
        <v>27</v>
      </c>
      <c r="C8" t="s">
        <v>28</v>
      </c>
      <c r="D8">
        <v>80.75</v>
      </c>
      <c r="E8" t="s">
        <v>19</v>
      </c>
      <c r="F8" t="s">
        <v>29</v>
      </c>
    </row>
    <row r="9" spans="1:6" x14ac:dyDescent="0.3">
      <c r="A9" t="s">
        <v>6</v>
      </c>
      <c r="B9" t="s">
        <v>30</v>
      </c>
      <c r="C9" t="s">
        <v>31</v>
      </c>
      <c r="D9">
        <v>240000</v>
      </c>
      <c r="E9" t="s">
        <v>32</v>
      </c>
      <c r="F9" t="s">
        <v>33</v>
      </c>
    </row>
    <row r="10" spans="1:6" x14ac:dyDescent="0.3">
      <c r="A10" t="s">
        <v>6</v>
      </c>
      <c r="B10" t="s">
        <v>34</v>
      </c>
      <c r="C10" t="s">
        <v>35</v>
      </c>
      <c r="D10">
        <v>115000</v>
      </c>
      <c r="E10" t="s">
        <v>36</v>
      </c>
      <c r="F10" t="s">
        <v>37</v>
      </c>
    </row>
    <row r="11" spans="1:6" x14ac:dyDescent="0.3">
      <c r="A11" t="s">
        <v>6</v>
      </c>
      <c r="B11" t="s">
        <v>38</v>
      </c>
      <c r="C11" t="s">
        <v>39</v>
      </c>
      <c r="D11">
        <v>0.22</v>
      </c>
      <c r="E11" t="s">
        <v>40</v>
      </c>
      <c r="F11" t="s">
        <v>41</v>
      </c>
    </row>
    <row r="12" spans="1:6" x14ac:dyDescent="0.3">
      <c r="A12" t="s">
        <v>6</v>
      </c>
      <c r="B12" t="s">
        <v>42</v>
      </c>
      <c r="C12" t="s">
        <v>43</v>
      </c>
      <c r="D12">
        <v>28000000</v>
      </c>
      <c r="E12" t="s">
        <v>32</v>
      </c>
      <c r="F12" t="s">
        <v>44</v>
      </c>
    </row>
    <row r="13" spans="1:6" x14ac:dyDescent="0.3">
      <c r="A13" t="s">
        <v>6</v>
      </c>
      <c r="B13" t="s">
        <v>45</v>
      </c>
      <c r="C13" t="s">
        <v>46</v>
      </c>
      <c r="D13">
        <v>3</v>
      </c>
      <c r="E13" t="s">
        <v>47</v>
      </c>
      <c r="F13" t="s">
        <v>48</v>
      </c>
    </row>
    <row r="14" spans="1:6" x14ac:dyDescent="0.3">
      <c r="A14" t="s">
        <v>6</v>
      </c>
      <c r="B14" t="s">
        <v>49</v>
      </c>
      <c r="C14" t="s">
        <v>50</v>
      </c>
      <c r="D14">
        <v>145000</v>
      </c>
      <c r="E14" t="s">
        <v>51</v>
      </c>
      <c r="F14" t="s">
        <v>52</v>
      </c>
    </row>
    <row r="15" spans="1:6" x14ac:dyDescent="0.3">
      <c r="A15" t="s">
        <v>6</v>
      </c>
      <c r="B15" t="s">
        <v>53</v>
      </c>
      <c r="C15" t="s">
        <v>54</v>
      </c>
      <c r="D15">
        <v>0.5</v>
      </c>
      <c r="E15" t="s">
        <v>47</v>
      </c>
      <c r="F15" t="s">
        <v>55</v>
      </c>
    </row>
    <row r="16" spans="1:6" x14ac:dyDescent="0.3">
      <c r="A16" t="s">
        <v>6</v>
      </c>
      <c r="B16" t="s">
        <v>56</v>
      </c>
      <c r="C16" t="s">
        <v>57</v>
      </c>
      <c r="D16">
        <v>0.12</v>
      </c>
      <c r="E16" t="s">
        <v>58</v>
      </c>
      <c r="F16" t="s">
        <v>59</v>
      </c>
    </row>
    <row r="17" spans="1:6" x14ac:dyDescent="0.3">
      <c r="A17" t="s">
        <v>6</v>
      </c>
      <c r="B17" t="s">
        <v>60</v>
      </c>
      <c r="C17" t="s">
        <v>61</v>
      </c>
      <c r="D17">
        <v>0.18</v>
      </c>
      <c r="E17" t="s">
        <v>58</v>
      </c>
      <c r="F17" t="s">
        <v>62</v>
      </c>
    </row>
    <row r="18" spans="1:6" x14ac:dyDescent="0.3">
      <c r="A18" t="s">
        <v>6</v>
      </c>
      <c r="B18" t="s">
        <v>63</v>
      </c>
      <c r="C18" t="s">
        <v>64</v>
      </c>
      <c r="D18">
        <v>3</v>
      </c>
      <c r="E18" t="s">
        <v>47</v>
      </c>
      <c r="F18" t="s">
        <v>65</v>
      </c>
    </row>
    <row r="19" spans="1:6" x14ac:dyDescent="0.3">
      <c r="A19" t="s">
        <v>6</v>
      </c>
      <c r="B19" t="s">
        <v>66</v>
      </c>
      <c r="C19" t="s">
        <v>67</v>
      </c>
      <c r="D19">
        <v>1</v>
      </c>
      <c r="E19" t="s">
        <v>68</v>
      </c>
      <c r="F19" t="s">
        <v>69</v>
      </c>
    </row>
    <row r="20" spans="1:6" x14ac:dyDescent="0.3">
      <c r="A20" t="s">
        <v>70</v>
      </c>
      <c r="B20" t="s">
        <v>7</v>
      </c>
      <c r="C20" t="s">
        <v>8</v>
      </c>
      <c r="D20">
        <v>720</v>
      </c>
      <c r="E20" t="s">
        <v>9</v>
      </c>
      <c r="F20" t="s">
        <v>10</v>
      </c>
    </row>
    <row r="21" spans="1:6" x14ac:dyDescent="0.3">
      <c r="A21" t="s">
        <v>70</v>
      </c>
      <c r="B21" t="s">
        <v>11</v>
      </c>
      <c r="C21" t="s">
        <v>12</v>
      </c>
      <c r="D21">
        <v>480</v>
      </c>
      <c r="E21" t="s">
        <v>9</v>
      </c>
      <c r="F21" t="s">
        <v>13</v>
      </c>
    </row>
    <row r="22" spans="1:6" x14ac:dyDescent="0.3">
      <c r="A22" t="s">
        <v>70</v>
      </c>
      <c r="B22" t="s">
        <v>14</v>
      </c>
      <c r="C22" t="s">
        <v>15</v>
      </c>
      <c r="D22">
        <v>390</v>
      </c>
      <c r="E22" t="s">
        <v>9</v>
      </c>
      <c r="F22" t="s">
        <v>16</v>
      </c>
    </row>
    <row r="23" spans="1:6" x14ac:dyDescent="0.3">
      <c r="A23" t="s">
        <v>70</v>
      </c>
      <c r="B23" t="s">
        <v>17</v>
      </c>
      <c r="C23" t="s">
        <v>18</v>
      </c>
      <c r="D23">
        <v>120</v>
      </c>
      <c r="E23" t="s">
        <v>19</v>
      </c>
      <c r="F23" t="s">
        <v>20</v>
      </c>
    </row>
    <row r="24" spans="1:6" x14ac:dyDescent="0.3">
      <c r="A24" t="s">
        <v>70</v>
      </c>
      <c r="B24" t="s">
        <v>21</v>
      </c>
      <c r="C24" t="s">
        <v>22</v>
      </c>
      <c r="D24">
        <v>95</v>
      </c>
      <c r="E24" t="s">
        <v>19</v>
      </c>
      <c r="F24" t="s">
        <v>23</v>
      </c>
    </row>
    <row r="25" spans="1:6" x14ac:dyDescent="0.3">
      <c r="A25" t="s">
        <v>70</v>
      </c>
      <c r="B25" t="s">
        <v>24</v>
      </c>
      <c r="C25" t="s">
        <v>25</v>
      </c>
      <c r="D25">
        <v>38</v>
      </c>
      <c r="E25" t="s">
        <v>19</v>
      </c>
      <c r="F25" t="s">
        <v>26</v>
      </c>
    </row>
    <row r="26" spans="1:6" x14ac:dyDescent="0.3">
      <c r="A26" t="s">
        <v>70</v>
      </c>
      <c r="B26" t="s">
        <v>27</v>
      </c>
      <c r="C26" t="s">
        <v>28</v>
      </c>
      <c r="D26">
        <v>80.75</v>
      </c>
      <c r="E26" t="s">
        <v>19</v>
      </c>
      <c r="F26" t="s">
        <v>29</v>
      </c>
    </row>
    <row r="27" spans="1:6" x14ac:dyDescent="0.3">
      <c r="A27" t="s">
        <v>70</v>
      </c>
      <c r="B27" t="s">
        <v>30</v>
      </c>
      <c r="C27" t="s">
        <v>31</v>
      </c>
      <c r="D27">
        <v>240000</v>
      </c>
      <c r="E27" t="s">
        <v>32</v>
      </c>
      <c r="F27" t="s">
        <v>33</v>
      </c>
    </row>
    <row r="28" spans="1:6" x14ac:dyDescent="0.3">
      <c r="A28" t="s">
        <v>70</v>
      </c>
      <c r="B28" t="s">
        <v>34</v>
      </c>
      <c r="C28" t="s">
        <v>35</v>
      </c>
      <c r="D28">
        <v>115000</v>
      </c>
      <c r="E28" t="s">
        <v>36</v>
      </c>
      <c r="F28" t="s">
        <v>37</v>
      </c>
    </row>
    <row r="29" spans="1:6" x14ac:dyDescent="0.3">
      <c r="A29" t="s">
        <v>70</v>
      </c>
      <c r="B29" t="s">
        <v>38</v>
      </c>
      <c r="C29" t="s">
        <v>39</v>
      </c>
      <c r="D29">
        <v>0.66</v>
      </c>
      <c r="E29" t="s">
        <v>40</v>
      </c>
      <c r="F29" t="s">
        <v>41</v>
      </c>
    </row>
    <row r="30" spans="1:6" x14ac:dyDescent="0.3">
      <c r="A30" t="s">
        <v>70</v>
      </c>
      <c r="B30" t="s">
        <v>42</v>
      </c>
      <c r="C30" t="s">
        <v>43</v>
      </c>
      <c r="D30">
        <v>28000000</v>
      </c>
      <c r="E30" t="s">
        <v>32</v>
      </c>
      <c r="F30" t="s">
        <v>44</v>
      </c>
    </row>
    <row r="31" spans="1:6" x14ac:dyDescent="0.3">
      <c r="A31" t="s">
        <v>70</v>
      </c>
      <c r="B31" t="s">
        <v>45</v>
      </c>
      <c r="C31" t="s">
        <v>46</v>
      </c>
      <c r="D31">
        <v>3</v>
      </c>
      <c r="E31" t="s">
        <v>47</v>
      </c>
      <c r="F31" t="s">
        <v>48</v>
      </c>
    </row>
    <row r="32" spans="1:6" x14ac:dyDescent="0.3">
      <c r="A32" t="s">
        <v>70</v>
      </c>
      <c r="B32" t="s">
        <v>49</v>
      </c>
      <c r="C32" t="s">
        <v>50</v>
      </c>
      <c r="D32">
        <v>145000</v>
      </c>
      <c r="E32" t="s">
        <v>51</v>
      </c>
      <c r="F32" t="s">
        <v>52</v>
      </c>
    </row>
    <row r="33" spans="1:6" x14ac:dyDescent="0.3">
      <c r="A33" t="s">
        <v>70</v>
      </c>
      <c r="B33" t="s">
        <v>53</v>
      </c>
      <c r="C33" t="s">
        <v>54</v>
      </c>
      <c r="D33">
        <v>0.5</v>
      </c>
      <c r="E33" t="s">
        <v>47</v>
      </c>
      <c r="F33" t="s">
        <v>55</v>
      </c>
    </row>
    <row r="34" spans="1:6" x14ac:dyDescent="0.3">
      <c r="A34" t="s">
        <v>70</v>
      </c>
      <c r="B34" t="s">
        <v>56</v>
      </c>
      <c r="C34" t="s">
        <v>57</v>
      </c>
      <c r="D34">
        <v>0.12</v>
      </c>
      <c r="E34" t="s">
        <v>58</v>
      </c>
      <c r="F34" t="s">
        <v>59</v>
      </c>
    </row>
    <row r="35" spans="1:6" x14ac:dyDescent="0.3">
      <c r="A35" t="s">
        <v>70</v>
      </c>
      <c r="B35" t="s">
        <v>60</v>
      </c>
      <c r="C35" t="s">
        <v>61</v>
      </c>
      <c r="D35">
        <v>0.18</v>
      </c>
      <c r="E35" t="s">
        <v>58</v>
      </c>
      <c r="F35" t="s">
        <v>62</v>
      </c>
    </row>
    <row r="36" spans="1:6" x14ac:dyDescent="0.3">
      <c r="A36" t="s">
        <v>70</v>
      </c>
      <c r="B36" t="s">
        <v>63</v>
      </c>
      <c r="C36" t="s">
        <v>64</v>
      </c>
      <c r="D36">
        <v>3</v>
      </c>
      <c r="E36" t="s">
        <v>47</v>
      </c>
      <c r="F36" t="s">
        <v>65</v>
      </c>
    </row>
    <row r="37" spans="1:6" x14ac:dyDescent="0.3">
      <c r="A37" t="s">
        <v>70</v>
      </c>
      <c r="B37" t="s">
        <v>66</v>
      </c>
      <c r="C37" t="s">
        <v>67</v>
      </c>
      <c r="D37">
        <v>1</v>
      </c>
      <c r="E37" t="s">
        <v>68</v>
      </c>
      <c r="F37" t="s">
        <v>69</v>
      </c>
    </row>
  </sheetData>
  <autoFilter ref="A1:F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8" customWidth="1"/>
    <col min="3" max="3" width="58" customWidth="1"/>
    <col min="4" max="4" width="20" customWidth="1"/>
    <col min="5" max="5" width="18" customWidth="1"/>
    <col min="6" max="6" width="58" customWidth="1"/>
  </cols>
  <sheetData>
    <row r="1" spans="1:6" x14ac:dyDescent="0.3">
      <c r="A1" s="1" t="s">
        <v>71</v>
      </c>
      <c r="B1" s="1" t="s">
        <v>72</v>
      </c>
      <c r="C1" s="1" t="s">
        <v>73</v>
      </c>
      <c r="D1" s="1" t="s">
        <v>3</v>
      </c>
      <c r="E1" s="1" t="s">
        <v>4</v>
      </c>
      <c r="F1" s="1" t="s">
        <v>74</v>
      </c>
    </row>
    <row r="2" spans="1:6" x14ac:dyDescent="0.3">
      <c r="A2" t="s">
        <v>75</v>
      </c>
      <c r="B2" t="s">
        <v>76</v>
      </c>
      <c r="C2" t="s">
        <v>77</v>
      </c>
      <c r="D2" s="2">
        <f>'Исходные данные'!$D$7/'Исходные данные'!$D$6</f>
        <v>0.75</v>
      </c>
      <c r="E2" t="s">
        <v>78</v>
      </c>
      <c r="F2" t="s">
        <v>79</v>
      </c>
    </row>
    <row r="3" spans="1:6" x14ac:dyDescent="0.3">
      <c r="A3" t="s">
        <v>80</v>
      </c>
      <c r="B3" t="s">
        <v>81</v>
      </c>
      <c r="C3" t="s">
        <v>82</v>
      </c>
      <c r="D3" s="2">
        <f>'Исходные данные'!$D$8/'Исходные данные'!$D$6</f>
        <v>0.85</v>
      </c>
      <c r="E3" t="s">
        <v>78</v>
      </c>
      <c r="F3" t="s">
        <v>83</v>
      </c>
    </row>
    <row r="4" spans="1:6" x14ac:dyDescent="0.3">
      <c r="A4" t="s">
        <v>84</v>
      </c>
      <c r="B4" t="s">
        <v>85</v>
      </c>
      <c r="C4" t="s">
        <v>86</v>
      </c>
      <c r="D4" s="2">
        <f>'Исходные данные'!$D$4/'Исходные данные'!$D$3</f>
        <v>0.8125</v>
      </c>
      <c r="E4" t="s">
        <v>78</v>
      </c>
      <c r="F4" t="s">
        <v>87</v>
      </c>
    </row>
    <row r="5" spans="1:6" x14ac:dyDescent="0.3">
      <c r="A5" t="s">
        <v>88</v>
      </c>
      <c r="B5" t="s">
        <v>89</v>
      </c>
      <c r="C5" t="s">
        <v>90</v>
      </c>
      <c r="D5" s="2">
        <f>('Исходные данные'!$D$3/'Исходные данные'!$D$5)*'Исходные данные'!$D$6/'Исходные данные'!$D$4</f>
        <v>0.97435897435897434</v>
      </c>
      <c r="E5" t="s">
        <v>78</v>
      </c>
      <c r="F5" t="s">
        <v>91</v>
      </c>
    </row>
    <row r="6" spans="1:6" x14ac:dyDescent="0.3">
      <c r="A6" t="s">
        <v>92</v>
      </c>
      <c r="B6" t="s">
        <v>93</v>
      </c>
      <c r="C6" t="s">
        <v>75</v>
      </c>
      <c r="D6" s="2">
        <f>D2</f>
        <v>0.75</v>
      </c>
      <c r="E6" t="s">
        <v>78</v>
      </c>
      <c r="F6" t="s">
        <v>94</v>
      </c>
    </row>
    <row r="7" spans="1:6" x14ac:dyDescent="0.3">
      <c r="A7" t="s">
        <v>95</v>
      </c>
      <c r="B7" t="s">
        <v>96</v>
      </c>
      <c r="C7" t="s">
        <v>97</v>
      </c>
      <c r="D7" s="2">
        <f>D4*D5*D6</f>
        <v>0.59375</v>
      </c>
      <c r="E7" t="s">
        <v>78</v>
      </c>
      <c r="F7" t="s">
        <v>98</v>
      </c>
    </row>
    <row r="8" spans="1:6" x14ac:dyDescent="0.3">
      <c r="A8" t="s">
        <v>99</v>
      </c>
      <c r="B8" t="s">
        <v>100</v>
      </c>
      <c r="C8" t="s">
        <v>101</v>
      </c>
      <c r="D8" s="2">
        <f>'Исходные данные'!$D$3/'Исходные данные'!$D$2</f>
        <v>0.66666666666666663</v>
      </c>
      <c r="E8" t="s">
        <v>78</v>
      </c>
      <c r="F8" t="s">
        <v>102</v>
      </c>
    </row>
    <row r="9" spans="1:6" x14ac:dyDescent="0.3">
      <c r="A9" t="s">
        <v>103</v>
      </c>
      <c r="B9" t="s">
        <v>104</v>
      </c>
      <c r="C9" t="s">
        <v>105</v>
      </c>
      <c r="D9" s="2">
        <f>D7*D8</f>
        <v>0.39583333333333331</v>
      </c>
      <c r="E9" t="s">
        <v>78</v>
      </c>
      <c r="F9" t="s">
        <v>106</v>
      </c>
    </row>
    <row r="10" spans="1:6" x14ac:dyDescent="0.3">
      <c r="A10" t="s">
        <v>107</v>
      </c>
      <c r="B10" t="s">
        <v>108</v>
      </c>
      <c r="C10" t="s">
        <v>109</v>
      </c>
      <c r="D10">
        <f>'Исходные данные'!$D$10/'Исходные данные'!$D$8</f>
        <v>1424.1486068111456</v>
      </c>
      <c r="E10" t="s">
        <v>110</v>
      </c>
      <c r="F10" t="s">
        <v>111</v>
      </c>
    </row>
    <row r="11" spans="1:6" x14ac:dyDescent="0.3">
      <c r="A11" t="s">
        <v>112</v>
      </c>
      <c r="B11" t="s">
        <v>113</v>
      </c>
      <c r="C11" t="s">
        <v>114</v>
      </c>
      <c r="D11">
        <f>Затраты!D5</f>
        <v>14713.037495700037</v>
      </c>
      <c r="E11" t="s">
        <v>115</v>
      </c>
      <c r="F11" t="s">
        <v>116</v>
      </c>
    </row>
    <row r="12" spans="1:6" x14ac:dyDescent="0.3">
      <c r="A12" t="s">
        <v>117</v>
      </c>
      <c r="B12" t="s">
        <v>113</v>
      </c>
      <c r="C12" t="s">
        <v>114</v>
      </c>
      <c r="D12">
        <f>Затраты!D6</f>
        <v>14713.037495700037</v>
      </c>
      <c r="E12" t="s">
        <v>115</v>
      </c>
      <c r="F12" t="s">
        <v>118</v>
      </c>
    </row>
    <row r="13" spans="1:6" x14ac:dyDescent="0.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</row>
    <row r="14" spans="1:6" x14ac:dyDescent="0.3">
      <c r="A14" t="s">
        <v>125</v>
      </c>
      <c r="B14" t="s">
        <v>126</v>
      </c>
      <c r="C14" t="s">
        <v>127</v>
      </c>
      <c r="D14" s="2">
        <f>TTM!G2</f>
        <v>0.26285941114120437</v>
      </c>
      <c r="E14" t="s">
        <v>78</v>
      </c>
      <c r="F14" t="s">
        <v>128</v>
      </c>
    </row>
    <row r="15" spans="1:6" x14ac:dyDescent="0.3">
      <c r="A15" t="s">
        <v>129</v>
      </c>
      <c r="B15" t="s">
        <v>126</v>
      </c>
      <c r="C15" t="s">
        <v>130</v>
      </c>
      <c r="D15" s="2">
        <f>TTM!G3</f>
        <v>0.2803468358172122</v>
      </c>
      <c r="E15" t="s">
        <v>78</v>
      </c>
      <c r="F15" t="s">
        <v>131</v>
      </c>
    </row>
  </sheetData>
  <autoFilter ref="A1:F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0" customWidth="1"/>
    <col min="3" max="3" width="52" customWidth="1"/>
    <col min="4" max="4" width="20" customWidth="1"/>
    <col min="5" max="5" width="18" customWidth="1"/>
    <col min="6" max="6" width="58" customWidth="1"/>
  </cols>
  <sheetData>
    <row r="1" spans="1:6" x14ac:dyDescent="0.3">
      <c r="A1" s="1" t="s">
        <v>71</v>
      </c>
      <c r="B1" s="1" t="s">
        <v>72</v>
      </c>
      <c r="C1" s="1" t="s">
        <v>73</v>
      </c>
      <c r="D1" s="1" t="s">
        <v>3</v>
      </c>
      <c r="E1" s="1" t="s">
        <v>4</v>
      </c>
      <c r="F1" s="1" t="s">
        <v>74</v>
      </c>
    </row>
    <row r="2" spans="1:6" x14ac:dyDescent="0.3">
      <c r="A2" t="s">
        <v>132</v>
      </c>
      <c r="B2" t="s">
        <v>133</v>
      </c>
      <c r="C2" t="s">
        <v>134</v>
      </c>
      <c r="D2">
        <f>'Исходные данные'!$D$10*'Исходные данные'!$D$11</f>
        <v>25300</v>
      </c>
      <c r="E2" t="s">
        <v>51</v>
      </c>
      <c r="F2" t="s">
        <v>135</v>
      </c>
    </row>
    <row r="3" spans="1:6" x14ac:dyDescent="0.3">
      <c r="A3" t="s">
        <v>136</v>
      </c>
      <c r="B3" t="s">
        <v>137</v>
      </c>
      <c r="C3" t="s">
        <v>138</v>
      </c>
      <c r="D3">
        <f>'Исходные данные'!$D$12/'Исходные данные'!$D$13/12</f>
        <v>777777.77777777787</v>
      </c>
      <c r="E3" t="s">
        <v>51</v>
      </c>
      <c r="F3" t="s">
        <v>139</v>
      </c>
    </row>
    <row r="4" spans="1:6" x14ac:dyDescent="0.3">
      <c r="A4" t="s">
        <v>140</v>
      </c>
      <c r="B4" t="s">
        <v>141</v>
      </c>
      <c r="C4" t="s">
        <v>142</v>
      </c>
      <c r="D4">
        <f>'Исходные данные'!$D$9+D2+'Исходные данные'!$D$14+D3</f>
        <v>1188077.777777778</v>
      </c>
      <c r="E4" t="s">
        <v>51</v>
      </c>
      <c r="F4" t="s">
        <v>143</v>
      </c>
    </row>
    <row r="5" spans="1:6" x14ac:dyDescent="0.3">
      <c r="A5" t="s">
        <v>112</v>
      </c>
      <c r="B5" t="s">
        <v>113</v>
      </c>
      <c r="C5" t="s">
        <v>114</v>
      </c>
      <c r="D5">
        <f>D4/'Исходные данные'!$D$8</f>
        <v>14713.037495700037</v>
      </c>
      <c r="E5" t="s">
        <v>115</v>
      </c>
      <c r="F5" t="s">
        <v>144</v>
      </c>
    </row>
    <row r="6" spans="1:6" x14ac:dyDescent="0.3">
      <c r="A6" t="s">
        <v>117</v>
      </c>
      <c r="B6" t="s">
        <v>113</v>
      </c>
      <c r="C6" t="s">
        <v>114</v>
      </c>
      <c r="D6">
        <f>D4/'Исходные данные'!$D$8</f>
        <v>14713.037495700037</v>
      </c>
      <c r="E6" t="s">
        <v>115</v>
      </c>
      <c r="F6" t="s">
        <v>145</v>
      </c>
    </row>
    <row r="7" spans="1:6" x14ac:dyDescent="0.3">
      <c r="A7" t="s">
        <v>146</v>
      </c>
      <c r="B7" t="s">
        <v>147</v>
      </c>
      <c r="C7" t="s">
        <v>148</v>
      </c>
      <c r="D7">
        <f>'Исходные данные'!$D$9/'Исходные данные'!$D$8</f>
        <v>2972.1362229102169</v>
      </c>
      <c r="E7" t="s">
        <v>115</v>
      </c>
      <c r="F7" t="s">
        <v>149</v>
      </c>
    </row>
  </sheetData>
  <autoFilter ref="A1:F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8" customWidth="1"/>
    <col min="5" max="5" width="14" customWidth="1"/>
    <col min="6" max="6" width="16" customWidth="1"/>
    <col min="7" max="7" width="18" customWidth="1"/>
    <col min="8" max="8" width="36" customWidth="1"/>
  </cols>
  <sheetData>
    <row r="1" spans="1:8" x14ac:dyDescent="0.3">
      <c r="A1" s="1" t="s">
        <v>0</v>
      </c>
      <c r="B1" s="1" t="s">
        <v>56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74</v>
      </c>
    </row>
    <row r="2" spans="1:8" x14ac:dyDescent="0.3">
      <c r="A2" t="s">
        <v>155</v>
      </c>
      <c r="B2" s="2">
        <v>0.1</v>
      </c>
      <c r="C2" s="2">
        <v>0.15</v>
      </c>
      <c r="D2">
        <v>3</v>
      </c>
      <c r="E2">
        <v>0.5</v>
      </c>
      <c r="F2">
        <v>1</v>
      </c>
      <c r="G2" s="2">
        <f>IF(OR(F2=0,E2&gt;=D2),1,1-(1/(1+B2)^E2)*EXP(-C2*E2)*((D2-E2)/D2)*F2)</f>
        <v>0.26285941114120437</v>
      </c>
      <c r="H2" t="s">
        <v>156</v>
      </c>
    </row>
    <row r="3" spans="1:8" x14ac:dyDescent="0.3">
      <c r="A3" t="s">
        <v>157</v>
      </c>
      <c r="B3" s="2">
        <v>0.12</v>
      </c>
      <c r="C3" s="2">
        <v>0.18</v>
      </c>
      <c r="D3">
        <v>3</v>
      </c>
      <c r="E3">
        <v>0.5</v>
      </c>
      <c r="F3">
        <v>1</v>
      </c>
      <c r="G3" s="2">
        <f>IF(OR(F3=0,E3&gt;=D3),1,1-(1/(1+B3)^E3)*EXP(-C3*E3)*((D3-E3)/D3)*F3)</f>
        <v>0.2803468358172122</v>
      </c>
      <c r="H3" t="s">
        <v>158</v>
      </c>
    </row>
    <row r="4" spans="1:8" x14ac:dyDescent="0.3">
      <c r="A4" t="s">
        <v>159</v>
      </c>
      <c r="B4" s="2">
        <v>0.1</v>
      </c>
      <c r="C4" s="2">
        <v>0.15</v>
      </c>
      <c r="D4">
        <v>3</v>
      </c>
      <c r="E4">
        <v>0</v>
      </c>
      <c r="F4">
        <v>1</v>
      </c>
      <c r="G4" s="2">
        <f>IF(OR(F4=0,E4&gt;=D4),1,1-(1/(1+B4)^E4)*EXP(-C4*E4)*((D4-E4)/D4)*F4)</f>
        <v>0</v>
      </c>
      <c r="H4" t="s">
        <v>160</v>
      </c>
    </row>
    <row r="5" spans="1:8" x14ac:dyDescent="0.3">
      <c r="A5" t="s">
        <v>70</v>
      </c>
      <c r="B5" s="2">
        <v>0.1</v>
      </c>
      <c r="C5" s="2">
        <v>0.15</v>
      </c>
      <c r="D5">
        <v>3</v>
      </c>
      <c r="E5">
        <v>0.5</v>
      </c>
      <c r="F5">
        <v>1</v>
      </c>
      <c r="G5" s="2">
        <f>IF(OR(F5=0,E5&gt;=D5),1,1-(1/(1+B5)^E5)*EXP(-C5*E5)*((D5-E5)/D5)*F5)</f>
        <v>0.26285941114120437</v>
      </c>
      <c r="H5" t="s">
        <v>161</v>
      </c>
    </row>
  </sheetData>
  <autoFilter ref="A1:H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5" width="20" customWidth="1"/>
    <col min="6" max="6" width="62" customWidth="1"/>
  </cols>
  <sheetData>
    <row r="1" spans="1:6" x14ac:dyDescent="0.3">
      <c r="A1" s="1" t="s">
        <v>71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 x14ac:dyDescent="0.3">
      <c r="A2" t="s">
        <v>75</v>
      </c>
      <c r="B2">
        <f>'Исходные данные'!$D$7/'Исходные данные'!$D$6</f>
        <v>0.75</v>
      </c>
      <c r="C2">
        <f>'Исходные данные'!$D$25/'Исходные данные'!$D$24</f>
        <v>0.4</v>
      </c>
      <c r="D2">
        <f t="shared" ref="D2:D8" si="0">C2-B2</f>
        <v>-0.35</v>
      </c>
      <c r="E2">
        <f t="shared" ref="E2:E8" si="1">IF(B2=0,NA(),D2/ABS(B2))</f>
        <v>-0.46666666666666662</v>
      </c>
      <c r="F2" t="s">
        <v>167</v>
      </c>
    </row>
    <row r="3" spans="1:6" x14ac:dyDescent="0.3">
      <c r="A3" t="s">
        <v>95</v>
      </c>
      <c r="B3">
        <f>('Исходные данные'!$D$4/'Исходные данные'!$D$3)*(('Исходные данные'!$D$3/'Исходные данные'!$D$5)*'Исходные данные'!$D$6/'Исходные данные'!$D$4)*('Исходные данные'!$D$7/'Исходные данные'!$D$6)</f>
        <v>0.59375</v>
      </c>
      <c r="C3">
        <f>('Исходные данные'!$D$22/'Исходные данные'!$D$21)*(('Исходные данные'!$D$21/'Исходные данные'!$D$23)*'Исходные данные'!$D$24/'Исходные данные'!$D$22)*('Исходные данные'!$D$25/'Исходные данные'!$D$24)</f>
        <v>0.31666666666666665</v>
      </c>
      <c r="D3">
        <f t="shared" si="0"/>
        <v>-0.27708333333333335</v>
      </c>
      <c r="E3">
        <f t="shared" si="1"/>
        <v>-0.46666666666666667</v>
      </c>
      <c r="F3" t="s">
        <v>168</v>
      </c>
    </row>
    <row r="4" spans="1:6" x14ac:dyDescent="0.3">
      <c r="A4" t="s">
        <v>103</v>
      </c>
      <c r="B4">
        <f>B3*('Исходные данные'!$D$3/'Исходные данные'!$D$2)</f>
        <v>0.39583333333333331</v>
      </c>
      <c r="C4">
        <f>C3*('Исходные данные'!$D$21/'Исходные данные'!$D$20)</f>
        <v>0.21111111111111108</v>
      </c>
      <c r="D4">
        <f t="shared" si="0"/>
        <v>-0.18472222222222223</v>
      </c>
      <c r="E4">
        <f t="shared" si="1"/>
        <v>-0.46666666666666673</v>
      </c>
      <c r="F4" t="s">
        <v>169</v>
      </c>
    </row>
    <row r="5" spans="1:6" x14ac:dyDescent="0.3">
      <c r="A5" t="s">
        <v>132</v>
      </c>
      <c r="B5">
        <f>'Исходные данные'!$D$10*'Исходные данные'!$D$11</f>
        <v>25300</v>
      </c>
      <c r="C5">
        <f>'Исходные данные'!$D$28*'Исходные данные'!$D$29</f>
        <v>75900</v>
      </c>
      <c r="D5">
        <f t="shared" si="0"/>
        <v>50600</v>
      </c>
      <c r="E5">
        <f t="shared" si="1"/>
        <v>2</v>
      </c>
      <c r="F5" t="s">
        <v>170</v>
      </c>
    </row>
    <row r="6" spans="1:6" x14ac:dyDescent="0.3">
      <c r="A6" t="s">
        <v>112</v>
      </c>
      <c r="B6">
        <f>('Исходные данные'!$D$9+'Исходные данные'!$D$10*'Исходные данные'!$D$11+'Исходные данные'!$D$14+'Исходные данные'!$D$12/'Исходные данные'!$D$13/12)/'Исходные данные'!$D$8</f>
        <v>14713.037495700037</v>
      </c>
      <c r="C6">
        <f>('Исходные данные'!$D$27+'Исходные данные'!$D$28*'Исходные данные'!$D$29+'Исходные данные'!$D$32+'Исходные данные'!$D$30/'Исходные данные'!$D$31/12)/'Исходные данные'!$D$26</f>
        <v>15339.662882696941</v>
      </c>
      <c r="D6">
        <f t="shared" si="0"/>
        <v>626.62538699690413</v>
      </c>
      <c r="E6">
        <f t="shared" si="1"/>
        <v>4.2589804258980429E-2</v>
      </c>
      <c r="F6" t="s">
        <v>171</v>
      </c>
    </row>
    <row r="7" spans="1:6" x14ac:dyDescent="0.3">
      <c r="A7" t="s">
        <v>117</v>
      </c>
      <c r="B7">
        <f>B6</f>
        <v>14713.037495700037</v>
      </c>
      <c r="C7">
        <f>C6</f>
        <v>15339.662882696941</v>
      </c>
      <c r="D7">
        <f t="shared" si="0"/>
        <v>626.62538699690413</v>
      </c>
      <c r="E7">
        <f t="shared" si="1"/>
        <v>4.2589804258980429E-2</v>
      </c>
      <c r="F7" t="s">
        <v>172</v>
      </c>
    </row>
    <row r="8" spans="1:6" x14ac:dyDescent="0.3">
      <c r="A8" t="s">
        <v>173</v>
      </c>
      <c r="B8">
        <f>TTM!G4</f>
        <v>0</v>
      </c>
      <c r="C8">
        <f>TTM!G5</f>
        <v>0.26285941114120437</v>
      </c>
      <c r="D8">
        <f t="shared" si="0"/>
        <v>0.26285941114120437</v>
      </c>
      <c r="E8" t="e">
        <f t="shared" si="1"/>
        <v>#N/A</v>
      </c>
      <c r="F8" t="s">
        <v>174</v>
      </c>
    </row>
  </sheetData>
  <autoFilter ref="A1:F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5" width="18" customWidth="1"/>
    <col min="6" max="6" width="14" customWidth="1"/>
    <col min="7" max="7" width="18" customWidth="1"/>
    <col min="8" max="8" width="54" customWidth="1"/>
    <col min="9" max="9" width="26" customWidth="1"/>
  </cols>
  <sheetData>
    <row r="1" spans="1:9" x14ac:dyDescent="0.3">
      <c r="A1" s="1" t="s">
        <v>71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 spans="1:9" x14ac:dyDescent="0.3">
      <c r="A2" t="s">
        <v>84</v>
      </c>
      <c r="B2">
        <v>0.8125</v>
      </c>
      <c r="C2">
        <v>0.8125</v>
      </c>
      <c r="D2">
        <v>0</v>
      </c>
      <c r="E2">
        <v>0</v>
      </c>
      <c r="F2">
        <v>1.0000000000000001E-9</v>
      </c>
      <c r="G2" t="s">
        <v>183</v>
      </c>
      <c r="I2" t="s">
        <v>184</v>
      </c>
    </row>
    <row r="3" spans="1:9" x14ac:dyDescent="0.3">
      <c r="A3" t="s">
        <v>117</v>
      </c>
      <c r="B3">
        <v>14713.03749570004</v>
      </c>
      <c r="C3">
        <v>14713.03749570004</v>
      </c>
      <c r="D3">
        <v>0</v>
      </c>
      <c r="E3">
        <v>0</v>
      </c>
      <c r="F3">
        <v>1.0000000000000001E-9</v>
      </c>
      <c r="G3" t="s">
        <v>183</v>
      </c>
      <c r="I3" t="s">
        <v>184</v>
      </c>
    </row>
    <row r="4" spans="1:9" x14ac:dyDescent="0.3">
      <c r="A4" t="s">
        <v>112</v>
      </c>
      <c r="B4">
        <v>14713.03749570004</v>
      </c>
      <c r="C4">
        <v>14713.03749570004</v>
      </c>
      <c r="D4">
        <v>0</v>
      </c>
      <c r="E4">
        <v>0</v>
      </c>
      <c r="F4">
        <v>1.0000000000000001E-9</v>
      </c>
      <c r="G4" t="s">
        <v>183</v>
      </c>
      <c r="I4" t="s">
        <v>184</v>
      </c>
    </row>
    <row r="5" spans="1:9" x14ac:dyDescent="0.3">
      <c r="A5" t="s">
        <v>132</v>
      </c>
      <c r="B5">
        <v>25300</v>
      </c>
      <c r="C5">
        <v>25300</v>
      </c>
      <c r="D5">
        <v>0</v>
      </c>
      <c r="E5">
        <v>0</v>
      </c>
      <c r="F5">
        <v>1.0000000000000001E-9</v>
      </c>
      <c r="G5" t="s">
        <v>183</v>
      </c>
      <c r="I5" t="s">
        <v>184</v>
      </c>
    </row>
    <row r="6" spans="1:9" x14ac:dyDescent="0.3">
      <c r="A6" t="s">
        <v>107</v>
      </c>
      <c r="B6">
        <v>1424.148606811146</v>
      </c>
      <c r="C6">
        <v>1424.148606811146</v>
      </c>
      <c r="D6">
        <v>0</v>
      </c>
      <c r="E6">
        <v>0</v>
      </c>
      <c r="F6">
        <v>1.0000000000000001E-9</v>
      </c>
      <c r="G6" t="s">
        <v>183</v>
      </c>
      <c r="I6" t="s">
        <v>184</v>
      </c>
    </row>
    <row r="7" spans="1:9" x14ac:dyDescent="0.3">
      <c r="A7" t="s">
        <v>75</v>
      </c>
      <c r="B7">
        <v>0.75</v>
      </c>
      <c r="C7">
        <v>0.75</v>
      </c>
      <c r="D7">
        <v>0</v>
      </c>
      <c r="E7">
        <v>0</v>
      </c>
      <c r="F7">
        <v>1.0000000000000001E-9</v>
      </c>
      <c r="G7" t="s">
        <v>183</v>
      </c>
      <c r="I7" t="s">
        <v>184</v>
      </c>
    </row>
    <row r="8" spans="1:9" x14ac:dyDescent="0.3">
      <c r="A8" t="s">
        <v>80</v>
      </c>
      <c r="B8">
        <v>0.85</v>
      </c>
      <c r="C8">
        <v>0.85</v>
      </c>
      <c r="D8">
        <v>0</v>
      </c>
      <c r="E8">
        <v>0</v>
      </c>
      <c r="F8">
        <v>1.0000000000000001E-9</v>
      </c>
      <c r="G8" t="s">
        <v>183</v>
      </c>
      <c r="I8" t="s">
        <v>184</v>
      </c>
    </row>
    <row r="9" spans="1:9" x14ac:dyDescent="0.3">
      <c r="A9" t="s">
        <v>119</v>
      </c>
      <c r="F9">
        <v>1.0000000000000001E-9</v>
      </c>
      <c r="G9" t="s">
        <v>122</v>
      </c>
      <c r="H9" t="s">
        <v>185</v>
      </c>
      <c r="I9" t="s">
        <v>184</v>
      </c>
    </row>
    <row r="10" spans="1:9" x14ac:dyDescent="0.3">
      <c r="A10" t="s">
        <v>136</v>
      </c>
      <c r="B10">
        <v>777777.77777777787</v>
      </c>
      <c r="C10">
        <v>777777.77777777787</v>
      </c>
      <c r="D10">
        <v>0</v>
      </c>
      <c r="E10">
        <v>0</v>
      </c>
      <c r="F10">
        <v>1.0000000000000001E-9</v>
      </c>
      <c r="G10" t="s">
        <v>183</v>
      </c>
      <c r="I10" t="s">
        <v>184</v>
      </c>
    </row>
    <row r="11" spans="1:9" x14ac:dyDescent="0.3">
      <c r="A11" t="s">
        <v>95</v>
      </c>
      <c r="B11">
        <v>0.59375</v>
      </c>
      <c r="C11">
        <v>0.59375</v>
      </c>
      <c r="D11">
        <v>0</v>
      </c>
      <c r="E11">
        <v>0</v>
      </c>
      <c r="F11">
        <v>1.0000000000000001E-9</v>
      </c>
      <c r="G11" t="s">
        <v>183</v>
      </c>
      <c r="I11" t="s">
        <v>184</v>
      </c>
    </row>
    <row r="12" spans="1:9" x14ac:dyDescent="0.3">
      <c r="A12" t="s">
        <v>88</v>
      </c>
      <c r="B12">
        <v>0.97435897435897434</v>
      </c>
      <c r="C12">
        <v>0.97435897435897434</v>
      </c>
      <c r="D12">
        <v>0</v>
      </c>
      <c r="E12">
        <v>0</v>
      </c>
      <c r="F12">
        <v>1.0000000000000001E-9</v>
      </c>
      <c r="G12" t="s">
        <v>183</v>
      </c>
      <c r="I12" t="s">
        <v>184</v>
      </c>
    </row>
    <row r="13" spans="1:9" x14ac:dyDescent="0.3">
      <c r="A13" t="s">
        <v>92</v>
      </c>
      <c r="B13">
        <v>0.75</v>
      </c>
      <c r="C13">
        <v>0.75</v>
      </c>
      <c r="D13">
        <v>0</v>
      </c>
      <c r="E13">
        <v>0</v>
      </c>
      <c r="F13">
        <v>1.0000000000000001E-9</v>
      </c>
      <c r="G13" t="s">
        <v>183</v>
      </c>
      <c r="I13" t="s">
        <v>184</v>
      </c>
    </row>
    <row r="14" spans="1:9" x14ac:dyDescent="0.3">
      <c r="A14" t="s">
        <v>146</v>
      </c>
      <c r="B14">
        <v>2972.1362229102169</v>
      </c>
      <c r="C14">
        <v>2972.1362229102169</v>
      </c>
      <c r="D14">
        <v>0</v>
      </c>
      <c r="E14">
        <v>0</v>
      </c>
      <c r="F14">
        <v>1.0000000000000001E-9</v>
      </c>
      <c r="G14" t="s">
        <v>183</v>
      </c>
      <c r="I14" t="s">
        <v>184</v>
      </c>
    </row>
    <row r="15" spans="1:9" x14ac:dyDescent="0.3">
      <c r="A15" t="s">
        <v>103</v>
      </c>
      <c r="B15">
        <v>0.39583333333333331</v>
      </c>
      <c r="C15">
        <v>0.39583333333333331</v>
      </c>
      <c r="D15">
        <v>0</v>
      </c>
      <c r="E15">
        <v>0</v>
      </c>
      <c r="F15">
        <v>1.0000000000000001E-9</v>
      </c>
      <c r="G15" t="s">
        <v>183</v>
      </c>
      <c r="I15" t="s">
        <v>184</v>
      </c>
    </row>
    <row r="16" spans="1:9" x14ac:dyDescent="0.3">
      <c r="A16" t="s">
        <v>125</v>
      </c>
      <c r="B16">
        <v>0.26285941114120442</v>
      </c>
      <c r="C16">
        <v>0.26285941114120442</v>
      </c>
      <c r="D16">
        <v>0</v>
      </c>
      <c r="E16">
        <v>0</v>
      </c>
      <c r="F16">
        <v>1.0000000000000001E-9</v>
      </c>
      <c r="G16" t="s">
        <v>183</v>
      </c>
      <c r="I16" t="s">
        <v>184</v>
      </c>
    </row>
    <row r="17" spans="1:9" x14ac:dyDescent="0.3">
      <c r="A17" t="s">
        <v>129</v>
      </c>
      <c r="B17">
        <v>0.2803468358172122</v>
      </c>
      <c r="C17">
        <v>0.2803468358172122</v>
      </c>
      <c r="D17">
        <v>0</v>
      </c>
      <c r="E17">
        <v>0</v>
      </c>
      <c r="F17">
        <v>1.0000000000000001E-9</v>
      </c>
      <c r="G17" t="s">
        <v>183</v>
      </c>
      <c r="I17" t="s">
        <v>184</v>
      </c>
    </row>
    <row r="18" spans="1:9" x14ac:dyDescent="0.3">
      <c r="A18" t="s">
        <v>140</v>
      </c>
      <c r="B18">
        <v>1188077.777777778</v>
      </c>
      <c r="C18">
        <v>1188077.777777778</v>
      </c>
      <c r="D18">
        <v>0</v>
      </c>
      <c r="E18">
        <v>0</v>
      </c>
      <c r="F18">
        <v>1.0000000000000001E-9</v>
      </c>
      <c r="G18" t="s">
        <v>183</v>
      </c>
      <c r="I18" t="s">
        <v>184</v>
      </c>
    </row>
    <row r="19" spans="1:9" x14ac:dyDescent="0.3">
      <c r="A19" t="s">
        <v>99</v>
      </c>
      <c r="B19">
        <v>0.66666666666666663</v>
      </c>
      <c r="C19">
        <v>0.66666666666666663</v>
      </c>
      <c r="D19">
        <v>0</v>
      </c>
      <c r="E19">
        <v>0</v>
      </c>
      <c r="F19">
        <v>1.0000000000000001E-9</v>
      </c>
      <c r="G19" t="s">
        <v>183</v>
      </c>
      <c r="I19" t="s">
        <v>184</v>
      </c>
    </row>
  </sheetData>
  <autoFilter ref="A1:I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3" width="32" customWidth="1"/>
    <col min="4" max="5" width="40" customWidth="1"/>
    <col min="6" max="6" width="35" customWidth="1"/>
    <col min="7" max="7" width="42" customWidth="1"/>
    <col min="8" max="8" width="38" customWidth="1"/>
  </cols>
  <sheetData>
    <row r="1" spans="1:8" ht="28.8" customHeight="1" x14ac:dyDescent="0.3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</row>
    <row r="2" spans="1:8" ht="28.8" customHeight="1" x14ac:dyDescent="0.3">
      <c r="A2" s="4">
        <v>1</v>
      </c>
      <c r="B2" s="4" t="s">
        <v>194</v>
      </c>
      <c r="C2" s="4" t="s">
        <v>195</v>
      </c>
      <c r="D2" s="4" t="s">
        <v>196</v>
      </c>
      <c r="E2" s="4" t="s">
        <v>197</v>
      </c>
      <c r="F2" s="4" t="s">
        <v>198</v>
      </c>
      <c r="G2" s="4" t="s">
        <v>199</v>
      </c>
      <c r="H2" s="4" t="s">
        <v>200</v>
      </c>
    </row>
    <row r="3" spans="1:8" ht="28.8" customHeight="1" x14ac:dyDescent="0.3">
      <c r="A3" s="4">
        <v>2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</row>
    <row r="4" spans="1:8" ht="43.2" customHeight="1" x14ac:dyDescent="0.3">
      <c r="A4" s="4">
        <v>3</v>
      </c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  <c r="G4" s="4" t="s">
        <v>213</v>
      </c>
      <c r="H4" s="4" t="s">
        <v>214</v>
      </c>
    </row>
    <row r="5" spans="1:8" ht="28.8" customHeight="1" x14ac:dyDescent="0.3">
      <c r="A5" s="4">
        <v>4</v>
      </c>
      <c r="B5" s="4" t="s">
        <v>215</v>
      </c>
      <c r="C5" s="4" t="s">
        <v>216</v>
      </c>
      <c r="D5" s="4" t="s">
        <v>217</v>
      </c>
      <c r="E5" s="4" t="s">
        <v>218</v>
      </c>
      <c r="F5" s="4" t="s">
        <v>219</v>
      </c>
      <c r="G5" s="4" t="s">
        <v>220</v>
      </c>
      <c r="H5" s="4" t="s">
        <v>221</v>
      </c>
    </row>
    <row r="6" spans="1:8" ht="28.8" customHeight="1" x14ac:dyDescent="0.3">
      <c r="A6" s="4">
        <v>5</v>
      </c>
      <c r="B6" s="4" t="s">
        <v>222</v>
      </c>
      <c r="C6" s="4" t="s">
        <v>223</v>
      </c>
      <c r="D6" s="4" t="s">
        <v>224</v>
      </c>
      <c r="E6" s="4" t="s">
        <v>225</v>
      </c>
      <c r="F6" s="4" t="s">
        <v>226</v>
      </c>
      <c r="G6" s="4" t="s">
        <v>227</v>
      </c>
      <c r="H6" s="4" t="s">
        <v>228</v>
      </c>
    </row>
    <row r="7" spans="1:8" ht="28.8" customHeight="1" x14ac:dyDescent="0.3">
      <c r="A7" s="4">
        <v>6</v>
      </c>
      <c r="B7" s="4" t="s">
        <v>229</v>
      </c>
      <c r="C7" s="4" t="s">
        <v>230</v>
      </c>
      <c r="D7" s="4" t="s">
        <v>231</v>
      </c>
      <c r="E7" s="4" t="s">
        <v>232</v>
      </c>
      <c r="F7" s="4" t="s">
        <v>233</v>
      </c>
      <c r="G7" s="4" t="s">
        <v>234</v>
      </c>
      <c r="H7" s="4" t="s">
        <v>235</v>
      </c>
    </row>
    <row r="8" spans="1:8" ht="43.2" customHeight="1" x14ac:dyDescent="0.3">
      <c r="A8" s="4">
        <v>7</v>
      </c>
      <c r="B8" s="4" t="s">
        <v>236</v>
      </c>
      <c r="C8" s="4" t="s">
        <v>237</v>
      </c>
      <c r="D8" s="4" t="s">
        <v>238</v>
      </c>
      <c r="E8" s="4" t="s">
        <v>239</v>
      </c>
      <c r="F8" s="4" t="s">
        <v>240</v>
      </c>
      <c r="G8" s="4" t="s">
        <v>241</v>
      </c>
      <c r="H8" s="4" t="s">
        <v>242</v>
      </c>
    </row>
  </sheetData>
  <autoFilter ref="A1:H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16" customWidth="1"/>
  </cols>
  <sheetData>
    <row r="1" spans="1:2" x14ac:dyDescent="0.3">
      <c r="A1" s="1" t="s">
        <v>243</v>
      </c>
      <c r="B1" s="1" t="s">
        <v>244</v>
      </c>
    </row>
    <row r="2" spans="1:2" x14ac:dyDescent="0.3">
      <c r="A2" t="s">
        <v>245</v>
      </c>
      <c r="B2">
        <v>0.25</v>
      </c>
    </row>
    <row r="3" spans="1:2" x14ac:dyDescent="0.3">
      <c r="A3" t="s">
        <v>246</v>
      </c>
      <c r="B3">
        <v>0.2</v>
      </c>
    </row>
    <row r="4" spans="1:2" x14ac:dyDescent="0.3">
      <c r="A4" t="s">
        <v>247</v>
      </c>
      <c r="B4">
        <v>0.3</v>
      </c>
    </row>
    <row r="5" spans="1:2" x14ac:dyDescent="0.3">
      <c r="A5" t="s">
        <v>248</v>
      </c>
      <c r="B5">
        <v>0.15</v>
      </c>
    </row>
    <row r="6" spans="1:2" x14ac:dyDescent="0.3">
      <c r="A6" t="s">
        <v>249</v>
      </c>
      <c r="B6">
        <v>0.1</v>
      </c>
    </row>
  </sheetData>
  <autoFilter ref="A1:B6" xr:uid="{00000000-0009-0000-0000-000007000000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52" customWidth="1"/>
    <col min="3" max="3" width="48" customWidth="1"/>
    <col min="4" max="4" width="30" customWidth="1"/>
    <col min="5" max="5" width="24" customWidth="1"/>
    <col min="6" max="6" width="16" customWidth="1"/>
  </cols>
  <sheetData>
    <row r="1" spans="1:6" x14ac:dyDescent="0.3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180</v>
      </c>
    </row>
    <row r="2" spans="1:6" x14ac:dyDescent="0.3">
      <c r="A2" t="s">
        <v>255</v>
      </c>
      <c r="B2" t="s">
        <v>256</v>
      </c>
      <c r="C2" t="s">
        <v>257</v>
      </c>
      <c r="D2" t="s">
        <v>258</v>
      </c>
      <c r="E2" t="s">
        <v>259</v>
      </c>
      <c r="F2" t="s">
        <v>260</v>
      </c>
    </row>
    <row r="3" spans="1:6" x14ac:dyDescent="0.3">
      <c r="A3" t="s">
        <v>261</v>
      </c>
      <c r="B3" t="s">
        <v>262</v>
      </c>
      <c r="C3" t="s">
        <v>263</v>
      </c>
      <c r="D3" t="s">
        <v>264</v>
      </c>
      <c r="E3" t="s">
        <v>265</v>
      </c>
      <c r="F3" t="s">
        <v>260</v>
      </c>
    </row>
    <row r="4" spans="1:6" x14ac:dyDescent="0.3">
      <c r="A4" t="s">
        <v>266</v>
      </c>
      <c r="B4" t="s">
        <v>267</v>
      </c>
      <c r="C4" t="s">
        <v>268</v>
      </c>
      <c r="D4" t="s">
        <v>269</v>
      </c>
      <c r="E4" t="s">
        <v>270</v>
      </c>
      <c r="F4" t="s">
        <v>260</v>
      </c>
    </row>
  </sheetData>
  <autoFilter ref="A1:F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8" customWidth="1"/>
    <col min="3" max="3" width="14" customWidth="1"/>
    <col min="4" max="4" width="48" customWidth="1"/>
    <col min="5" max="5" width="56" customWidth="1"/>
  </cols>
  <sheetData>
    <row r="1" spans="1:5" x14ac:dyDescent="0.3">
      <c r="A1" s="1" t="s">
        <v>271</v>
      </c>
      <c r="B1" s="1" t="s">
        <v>1</v>
      </c>
      <c r="C1" s="1" t="s">
        <v>272</v>
      </c>
      <c r="D1" s="1" t="s">
        <v>253</v>
      </c>
      <c r="E1" s="1" t="s">
        <v>273</v>
      </c>
    </row>
    <row r="2" spans="1:5" x14ac:dyDescent="0.3">
      <c r="A2" t="s">
        <v>274</v>
      </c>
      <c r="B2" t="s">
        <v>275</v>
      </c>
      <c r="C2" t="s">
        <v>276</v>
      </c>
      <c r="D2" t="s">
        <v>277</v>
      </c>
      <c r="E2" t="s">
        <v>278</v>
      </c>
    </row>
    <row r="3" spans="1:5" x14ac:dyDescent="0.3">
      <c r="A3" t="s">
        <v>279</v>
      </c>
      <c r="B3" t="s">
        <v>280</v>
      </c>
      <c r="C3" t="s">
        <v>281</v>
      </c>
      <c r="D3" t="s">
        <v>282</v>
      </c>
      <c r="E3" t="s">
        <v>283</v>
      </c>
    </row>
    <row r="4" spans="1:5" x14ac:dyDescent="0.3">
      <c r="A4" t="s">
        <v>284</v>
      </c>
      <c r="B4" t="s">
        <v>54</v>
      </c>
      <c r="C4" t="s">
        <v>281</v>
      </c>
      <c r="D4" t="s">
        <v>285</v>
      </c>
      <c r="E4" t="s">
        <v>286</v>
      </c>
    </row>
  </sheetData>
  <autoFilter ref="A1:E4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Исходные данные</vt:lpstr>
      <vt:lpstr>Метрики</vt:lpstr>
      <vt:lpstr>Затраты</vt:lpstr>
      <vt:lpstr>TTM</vt:lpstr>
      <vt:lpstr>Стресс-тест</vt:lpstr>
      <vt:lpstr>Сверка Excel–Python</vt:lpstr>
      <vt:lpstr>Harness Log</vt:lpstr>
      <vt:lpstr>Структура OPEX</vt:lpstr>
      <vt:lpstr>Допущения</vt:lpstr>
      <vt:lpstr>Проблемы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ильдар акчурин</cp:lastModifiedBy>
  <dcterms:created xsi:type="dcterms:W3CDTF">2026-09-17T10:27:58Z</dcterms:created>
  <dcterms:modified xsi:type="dcterms:W3CDTF">2026-09-17T10:28:03Z</dcterms:modified>
</cp:coreProperties>
</file>