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OPEX" sheetId="1" state="visible" r:id="rId1"/>
    <sheet xmlns:r="http://schemas.openxmlformats.org/officeDocument/2006/relationships" name="Энергетика и материалы" sheetId="2" state="visible" r:id="rId2"/>
    <sheet xmlns:r="http://schemas.openxmlformats.org/officeDocument/2006/relationships" name="Эксергия и SPECO" sheetId="3" state="visible" r:id="rId3"/>
    <sheet xmlns:r="http://schemas.openxmlformats.org/officeDocument/2006/relationships" name="Чувствительность" sheetId="4" state="visible" r:id="rId4"/>
  </sheets>
  <definedNames>
    <definedName name="_xlnm._FilterDatabase" localSheetId="0" hidden="1">'Сравнение OPEX'!$A$2:$J$24</definedName>
    <definedName name="_xlnm._FilterDatabase" localSheetId="1" hidden="1">'Энергетика и материалы'!$A$2:$F$24</definedName>
    <definedName name="_xlnm._FilterDatabase" localSheetId="2" hidden="1">'Эксергия и SPECO'!$A$2:$J$15</definedName>
    <definedName name="_xlnm._FilterDatabase" localSheetId="3" hidden="1">'Чувствительность'!$A$2:$F$15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;[Red](#,##0.0000)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3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Удельная себестоимость аммиака от выпуска</a:t>
            </a:r>
          </a:p>
        </rich>
      </tx>
    </title>
    <plotArea>
      <lineChart>
        <grouping val="standard"/>
        <ser>
          <idx val="0"/>
          <order val="0"/>
          <tx>
            <strRef>
              <f>'Сравнение OPEX'!B14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'Сравнение OPEX'!$A$15:$A$24</f>
            </numRef>
          </cat>
          <val>
            <numRef>
              <f>'Сравнение OPEX'!$B$15:$B$24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т/год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Влияние цены газа</a:t>
            </a:r>
          </a:p>
        </rich>
      </tx>
    </title>
    <plotArea>
      <lineChart>
        <grouping val="standard"/>
        <ser>
          <idx val="0"/>
          <order val="0"/>
          <tx>
            <strRef>
              <f>'Чувствительность'!B2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'Чувствительность'!$A$3:$A$15</f>
            </numRef>
          </cat>
          <val>
            <numRef>
              <f>'Чувствительность'!$B$3:$B$15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Влияние тарифа электроэнергии</a:t>
            </a:r>
          </a:p>
        </rich>
      </tx>
    </title>
    <plotArea>
      <lineChart>
        <grouping val="standard"/>
        <ser>
          <idx val="0"/>
          <order val="0"/>
          <tx>
            <strRef>
              <f>'Чувствительность'!E2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'Чувствительность'!$D$3:$D$7</f>
            </numRef>
          </cat>
          <val>
            <numRef>
              <f>'Чувствительность'!$E$3:$E$7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9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3" customWidth="1" min="9" max="9"/>
    <col width="39" customWidth="1" min="10" max="10"/>
  </cols>
  <sheetData>
    <row r="1" ht="32" customHeight="1">
      <c r="A1" s="1" t="inlineStr">
        <is>
          <t>Сравнение структуры OPEX и эффекта загрузки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5" customHeight="1">
      <c r="A2" s="2" t="inlineStr">
        <is>
          <t>Объект</t>
        </is>
      </c>
      <c r="B2" s="2" t="inlineStr">
        <is>
          <t>Сценарий</t>
        </is>
      </c>
      <c r="C2" s="2" t="inlineStr">
        <is>
          <t>Выпуск</t>
        </is>
      </c>
      <c r="D2" s="2" t="inlineStr">
        <is>
          <t>Переменные затраты</t>
        </is>
      </c>
      <c r="E2" s="2" t="inlineStr">
        <is>
          <t>Постоянные затраты</t>
        </is>
      </c>
      <c r="F2" s="2" t="inlineStr">
        <is>
          <t>Полный OPEX</t>
        </is>
      </c>
      <c r="G2" s="2" t="inlineStr">
        <is>
          <t>Доля переменных, %</t>
        </is>
      </c>
      <c r="H2" s="2" t="inlineStr">
        <is>
          <t>Доля постоянных, %</t>
        </is>
      </c>
      <c r="I2" s="2" t="inlineStr">
        <is>
          <t>Себестоимость единицы</t>
        </is>
      </c>
      <c r="J2" s="2" t="inlineStr">
        <is>
          <t>Единицы затрат</t>
        </is>
      </c>
    </row>
    <row r="3">
      <c r="A3" s="3" t="inlineStr">
        <is>
          <t>Аммиак</t>
        </is>
      </c>
      <c r="B3" s="3" t="inlineStr">
        <is>
          <t>База</t>
        </is>
      </c>
      <c r="C3" s="4" t="n">
        <v>500000</v>
      </c>
      <c r="D3" s="4" t="n">
        <v>126700000</v>
      </c>
      <c r="E3" s="4" t="n">
        <v>47100000</v>
      </c>
      <c r="F3" s="4" t="n">
        <v>173800000</v>
      </c>
      <c r="G3" s="4" t="n">
        <v>72.89988492520139</v>
      </c>
      <c r="H3" s="4" t="n">
        <v>27.10011507479862</v>
      </c>
      <c r="I3" s="4" t="n">
        <v>347.6</v>
      </c>
      <c r="J3" s="3" t="inlineStr">
        <is>
          <t>USD; USD/т</t>
        </is>
      </c>
    </row>
    <row r="4">
      <c r="A4" s="3" t="inlineStr">
        <is>
          <t>Аммиак</t>
        </is>
      </c>
      <c r="B4" s="3" t="inlineStr">
        <is>
          <t>Недогруз</t>
        </is>
      </c>
      <c r="C4" s="4" t="n">
        <v>400000</v>
      </c>
      <c r="D4" s="4" t="n">
        <v>101360000</v>
      </c>
      <c r="E4" s="4" t="n">
        <v>47100000</v>
      </c>
      <c r="F4" s="4" t="n">
        <v>148460000</v>
      </c>
      <c r="G4" s="4" t="n">
        <v>68.27428263505323</v>
      </c>
      <c r="H4" s="4" t="n">
        <v>31.72571736494679</v>
      </c>
      <c r="I4" s="4" t="n">
        <v>371.15</v>
      </c>
      <c r="J4" s="3" t="inlineStr">
        <is>
          <t>USD; USD/т</t>
        </is>
      </c>
    </row>
    <row r="5">
      <c r="A5" s="3" t="inlineStr">
        <is>
          <t>ХимМаш</t>
        </is>
      </c>
      <c r="B5" s="3" t="inlineStr">
        <is>
          <t>База</t>
        </is>
      </c>
      <c r="C5" s="4" t="n">
        <v>12</v>
      </c>
      <c r="D5" s="4" t="n">
        <v>43.152</v>
      </c>
      <c r="E5" s="4" t="n">
        <v>28.8</v>
      </c>
      <c r="F5" s="4" t="n">
        <v>71.952</v>
      </c>
      <c r="G5" s="4" t="n">
        <v>59.9733155436958</v>
      </c>
      <c r="H5" s="4" t="n">
        <v>40.02668445630421</v>
      </c>
      <c r="I5" s="4" t="n">
        <v>5.996</v>
      </c>
      <c r="J5" s="3" t="inlineStr">
        <is>
          <t>MUSD; MUSD/шт</t>
        </is>
      </c>
    </row>
    <row r="6">
      <c r="A6" s="3" t="inlineStr">
        <is>
          <t>ХимМаш</t>
        </is>
      </c>
      <c r="B6" s="3" t="inlineStr">
        <is>
          <t>Недогруз</t>
        </is>
      </c>
      <c r="C6" s="4" t="n">
        <v>6</v>
      </c>
      <c r="D6" s="4" t="n">
        <v>21.576</v>
      </c>
      <c r="E6" s="4" t="n">
        <v>28.8</v>
      </c>
      <c r="F6" s="4" t="n">
        <v>50.376</v>
      </c>
      <c r="G6" s="4" t="n">
        <v>42.82991900905193</v>
      </c>
      <c r="H6" s="4" t="n">
        <v>57.17008099094807</v>
      </c>
      <c r="I6" s="4" t="n">
        <v>8.396000000000001</v>
      </c>
      <c r="J6" s="3" t="inlineStr">
        <is>
          <t>MUSD; MUSD/шт</t>
        </is>
      </c>
    </row>
    <row r="7">
      <c r="A7" s="3" t="inlineStr">
        <is>
          <t>ХимМаш</t>
        </is>
      </c>
      <c r="B7" s="3" t="inlineStr">
        <is>
          <t>Недогруз со снижением fixed</t>
        </is>
      </c>
      <c r="C7" s="4" t="n">
        <v>6</v>
      </c>
      <c r="D7" s="4" t="n">
        <v>21.576</v>
      </c>
      <c r="E7" s="4" t="n">
        <v>24</v>
      </c>
      <c r="F7" s="4" t="n">
        <v>45.576</v>
      </c>
      <c r="G7" s="4" t="n">
        <v>47.3407056345445</v>
      </c>
      <c r="H7" s="4" t="n">
        <v>52.6592943654555</v>
      </c>
      <c r="I7" s="4" t="n">
        <v>7.596</v>
      </c>
      <c r="J7" s="3" t="inlineStr">
        <is>
          <t>MUSD; MUSD/шт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inlineStr">
        <is>
          <t>Материалы BOM, агрегат</t>
        </is>
      </c>
      <c r="B9" s="3" t="inlineStr">
        <is>
          <t>на 1 реактор</t>
        </is>
      </c>
      <c r="C9" s="3" t="inlineStr"/>
      <c r="D9" s="4" t="n">
        <v>0.496</v>
      </c>
      <c r="E9" s="3" t="inlineStr"/>
      <c r="F9" s="3" t="inlineStr"/>
      <c r="G9" s="3" t="inlineStr"/>
      <c r="H9" s="3" t="inlineStr"/>
      <c r="I9" s="3" t="inlineStr"/>
      <c r="J9" s="3" t="inlineStr">
        <is>
          <t>MUSD/шт</t>
        </is>
      </c>
    </row>
    <row r="10">
      <c r="A10" s="3" t="inlineStr">
        <is>
          <t>Прямой труд, агрегат</t>
        </is>
      </c>
      <c r="B10" s="3" t="inlineStr">
        <is>
          <t>на 1 реактор</t>
        </is>
      </c>
      <c r="C10" s="3" t="inlineStr"/>
      <c r="D10" s="4" t="n">
        <v>1.35</v>
      </c>
      <c r="E10" s="3" t="inlineStr"/>
      <c r="F10" s="3" t="inlineStr"/>
      <c r="G10" s="3" t="inlineStr"/>
      <c r="H10" s="3" t="inlineStr"/>
      <c r="I10" s="3" t="inlineStr"/>
      <c r="J10" s="3" t="inlineStr">
        <is>
          <t>MUSD/шт</t>
        </is>
      </c>
    </row>
    <row r="11">
      <c r="A11" s="3" t="inlineStr">
        <is>
          <t>Детальный расчёт скрапа</t>
        </is>
      </c>
      <c r="B11" s="3" t="inlineStr">
        <is>
          <t>MISSING_INPUT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m_net,i; f_scrap,i; p_i по материалам</t>
        </is>
      </c>
    </row>
    <row r="12">
      <c r="A12" s="3" t="inlineStr">
        <is>
          <t>WIP</t>
        </is>
      </c>
      <c r="B12" s="3" t="inlineStr">
        <is>
          <t>оборотный капитал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>
        <is>
          <t>не включён в OPEX</t>
        </is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inlineStr">
        <is>
          <t>Выпуск аммиака, т/год</t>
        </is>
      </c>
      <c r="B14" s="3" t="inlineStr">
        <is>
          <t>Себестоимость, USD/т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4" t="n">
        <v>300000</v>
      </c>
      <c r="B15" s="4" t="n">
        <v>410.4</v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4" t="n">
        <v>325000</v>
      </c>
      <c r="B16" s="4" t="n">
        <v>398.3230769230769</v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4" t="n">
        <v>350000</v>
      </c>
      <c r="B17" s="4" t="n">
        <v>387.9714285714286</v>
      </c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4" t="n">
        <v>375000</v>
      </c>
      <c r="B18" s="4" t="n">
        <v>379</v>
      </c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4" t="n">
        <v>400000</v>
      </c>
      <c r="B19" s="4" t="n">
        <v>371.15</v>
      </c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4" t="n">
        <v>425000</v>
      </c>
      <c r="B20" s="4" t="n">
        <v>364.2235294117647</v>
      </c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4" t="n">
        <v>450000</v>
      </c>
      <c r="B21" s="4" t="n">
        <v>358.0666666666667</v>
      </c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4" t="n">
        <v>475000</v>
      </c>
      <c r="B22" s="4" t="n">
        <v>352.5578947368421</v>
      </c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4" t="n">
        <v>500000</v>
      </c>
      <c r="B23" s="4" t="n">
        <v>347.6</v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4" t="n">
        <v>525000</v>
      </c>
      <c r="B24" s="4" t="n">
        <v>343.1142857142857</v>
      </c>
      <c r="C24" s="3" t="n"/>
      <c r="D24" s="3" t="n"/>
      <c r="E24" s="3" t="n"/>
      <c r="F24" s="3" t="n"/>
      <c r="G24" s="3" t="n"/>
      <c r="H24" s="3" t="n"/>
      <c r="I24" s="3" t="n"/>
      <c r="J24" s="3" t="n"/>
    </row>
  </sheetData>
  <autoFilter ref="A2:J24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54" customWidth="1" min="2" max="2"/>
    <col width="15" customWidth="1" min="3" max="3"/>
    <col width="19" customWidth="1" min="4" max="4"/>
    <col width="21" customWidth="1" min="5" max="5"/>
    <col width="56" customWidth="1" min="6" max="6"/>
  </cols>
  <sheetData>
    <row r="1" ht="32" customHeight="1">
      <c r="A1" s="1" t="inlineStr">
        <is>
          <t>Потоки и энергетический баланс</t>
        </is>
      </c>
      <c r="B1" s="1" t="n"/>
      <c r="C1" s="1" t="n"/>
      <c r="D1" s="1" t="n"/>
      <c r="E1" s="1" t="n"/>
      <c r="F1" s="1" t="n"/>
    </row>
    <row r="2" ht="35" customHeight="1">
      <c r="A2" s="2" t="inlineStr">
        <is>
          <t>ID потока / показатель</t>
        </is>
      </c>
      <c r="B2" s="2" t="inlineStr">
        <is>
          <t>Наименование</t>
        </is>
      </c>
      <c r="C2" s="2" t="inlineStr">
        <is>
          <t>Расход, кг/с</t>
        </is>
      </c>
      <c r="D2" s="2" t="inlineStr">
        <is>
          <t>Энтальпия, кДж/кг</t>
        </is>
      </c>
      <c r="E2" s="2" t="inlineStr">
        <is>
          <t>Поток энергии, кВт</t>
        </is>
      </c>
      <c r="F2" s="2" t="inlineStr">
        <is>
          <t>Комментарий</t>
        </is>
      </c>
    </row>
    <row r="3">
      <c r="A3" s="3" t="inlineStr">
        <is>
          <t>STR-01</t>
        </is>
      </c>
      <c r="B3" s="3" t="inlineStr">
        <is>
          <t>Свежий синтез-газ (N2 + 3H2)</t>
        </is>
      </c>
      <c r="C3" s="4" t="n">
        <v>17.5</v>
      </c>
      <c r="D3" s="4" t="n">
        <v>310.5</v>
      </c>
      <c r="E3" s="4" t="n">
        <v>5433.75</v>
      </c>
      <c r="F3" s="3" t="inlineStr">
        <is>
          <t>исходный поток</t>
        </is>
      </c>
    </row>
    <row r="4">
      <c r="A4" s="3" t="inlineStr">
        <is>
          <t>STR-02</t>
        </is>
      </c>
      <c r="B4" s="3" t="inlineStr">
        <is>
          <t>Синтез-газ после компримирования</t>
        </is>
      </c>
      <c r="C4" s="4" t="n">
        <v>17.5</v>
      </c>
      <c r="D4" s="4" t="n">
        <v>580.2</v>
      </c>
      <c r="E4" s="4" t="n">
        <v>10153.5</v>
      </c>
      <c r="F4" s="3" t="inlineStr">
        <is>
          <t>исходный поток</t>
        </is>
      </c>
    </row>
    <row r="5">
      <c r="A5" s="3" t="inlineStr">
        <is>
          <t>STR-03</t>
        </is>
      </c>
      <c r="B5" s="3" t="inlineStr">
        <is>
          <t>Циркуляционный газ на входе в реактор</t>
        </is>
      </c>
      <c r="C5" s="4" t="n">
        <v>85</v>
      </c>
      <c r="D5" s="4" t="n">
        <v>780</v>
      </c>
      <c r="E5" s="4" t="n">
        <v>66300</v>
      </c>
      <c r="F5" s="3" t="inlineStr">
        <is>
          <t>исходный поток</t>
        </is>
      </c>
    </row>
    <row r="6">
      <c r="A6" s="3" t="inlineStr">
        <is>
          <t>STR-04</t>
        </is>
      </c>
      <c r="B6" s="3" t="inlineStr">
        <is>
          <t>Прореагировавший газ на выходе из реактора</t>
        </is>
      </c>
      <c r="C6" s="4" t="n">
        <v>85</v>
      </c>
      <c r="D6" s="4" t="n">
        <v>1420</v>
      </c>
      <c r="E6" s="4" t="n">
        <v>120700</v>
      </c>
      <c r="F6" s="3" t="inlineStr">
        <is>
          <t>исходный поток</t>
        </is>
      </c>
    </row>
    <row r="7">
      <c r="A7" s="3" t="inlineStr">
        <is>
          <t>STR-05</t>
        </is>
      </c>
      <c r="B7" s="3" t="inlineStr">
        <is>
          <t>Газовый поток после котла-утилизатора (КУ / WHRB)</t>
        </is>
      </c>
      <c r="C7" s="4" t="n">
        <v>85</v>
      </c>
      <c r="D7" s="4" t="n">
        <v>860</v>
      </c>
      <c r="E7" s="4" t="n">
        <v>73100</v>
      </c>
      <c r="F7" s="3" t="inlineStr">
        <is>
          <t>исходный поток</t>
        </is>
      </c>
    </row>
    <row r="8">
      <c r="A8" s="3" t="inlineStr">
        <is>
          <t>STR-06</t>
        </is>
      </c>
      <c r="B8" s="3" t="inlineStr">
        <is>
          <t>Пар перегретый высокого давления из КУ (WHRB)</t>
        </is>
      </c>
      <c r="C8" s="4" t="n">
        <v>15</v>
      </c>
      <c r="D8" s="4" t="n">
        <v>3450</v>
      </c>
      <c r="E8" s="4" t="n">
        <v>51750</v>
      </c>
      <c r="F8" s="3" t="inlineStr">
        <is>
          <t>исходный поток</t>
        </is>
      </c>
    </row>
    <row r="9">
      <c r="A9" s="3" t="inlineStr">
        <is>
          <t>STR-07</t>
        </is>
      </c>
      <c r="B9" s="3" t="inlineStr">
        <is>
          <t>Питательная обессоленная вода в экономайзер КУ (BFW)</t>
        </is>
      </c>
      <c r="C9" s="4" t="n">
        <v>15</v>
      </c>
      <c r="D9" s="4" t="n">
        <v>650</v>
      </c>
      <c r="E9" s="4" t="n">
        <v>9750</v>
      </c>
      <c r="F9" s="3" t="inlineStr">
        <is>
          <t>исходный поток</t>
        </is>
      </c>
    </row>
    <row r="10">
      <c r="A10" s="3" t="inlineStr">
        <is>
          <t>STR-08</t>
        </is>
      </c>
      <c r="B10" s="3" t="inlineStr">
        <is>
          <t>Оборотная вода на входе в холодильник (CW In)</t>
        </is>
      </c>
      <c r="C10" s="4" t="n">
        <v>837.3</v>
      </c>
      <c r="D10" s="4" t="n">
        <v>104.9</v>
      </c>
      <c r="E10" s="4" t="n">
        <v>87832.77</v>
      </c>
      <c r="F10" s="3" t="inlineStr">
        <is>
          <t>исходный поток</t>
        </is>
      </c>
    </row>
    <row r="11">
      <c r="A11" s="3" t="inlineStr">
        <is>
          <t>STR-09</t>
        </is>
      </c>
      <c r="B11" s="3" t="inlineStr">
        <is>
          <t>Оборотная вода на выходе в градирню (CW Out)</t>
        </is>
      </c>
      <c r="C11" s="4" t="n">
        <v>837.3</v>
      </c>
      <c r="D11" s="4" t="n">
        <v>146.7</v>
      </c>
      <c r="E11" s="4" t="n">
        <v>122831.91</v>
      </c>
      <c r="F11" s="3" t="inlineStr">
        <is>
          <t>исходный поток</t>
        </is>
      </c>
    </row>
    <row r="12">
      <c r="A12" s="3" t="inlineStr">
        <is>
          <t>STR-10</t>
        </is>
      </c>
      <c r="B12" s="3" t="inlineStr">
        <is>
          <t>Жидкий аммиак-сырец в сепараторе</t>
        </is>
      </c>
      <c r="C12" s="4" t="n">
        <v>17.36</v>
      </c>
      <c r="D12" s="4" t="n">
        <v>180</v>
      </c>
      <c r="E12" s="4" t="n">
        <v>3124.8</v>
      </c>
      <c r="F12" s="3" t="inlineStr">
        <is>
          <t>исходный поток</t>
        </is>
      </c>
    </row>
    <row r="13">
      <c r="A13" s="3" t="inlineStr">
        <is>
          <t>Энергия на входе КУ</t>
        </is>
      </c>
      <c r="B13" s="3" t="inlineStr">
        <is>
          <t>Котёл-утилизатор</t>
        </is>
      </c>
      <c r="C13" s="3" t="inlineStr"/>
      <c r="D13" s="3" t="inlineStr"/>
      <c r="E13" s="4" t="n">
        <v>130450</v>
      </c>
      <c r="F13" s="3" t="inlineStr">
        <is>
          <t>кВт</t>
        </is>
      </c>
    </row>
    <row r="14">
      <c r="A14" s="3" t="inlineStr">
        <is>
          <t>Энергия на выходе КУ</t>
        </is>
      </c>
      <c r="B14" s="3" t="inlineStr">
        <is>
          <t>Котёл-утилизатор</t>
        </is>
      </c>
      <c r="C14" s="3" t="inlineStr"/>
      <c r="D14" s="3" t="inlineStr"/>
      <c r="E14" s="4" t="n">
        <v>124850</v>
      </c>
      <c r="F14" s="3" t="inlineStr">
        <is>
          <t>кВт</t>
        </is>
      </c>
    </row>
    <row r="15">
      <c r="A15" s="3" t="inlineStr">
        <is>
          <t>Невязка КУ</t>
        </is>
      </c>
      <c r="B15" s="3" t="inlineStr">
        <is>
          <t>Котёл-утилизатор</t>
        </is>
      </c>
      <c r="C15" s="3" t="inlineStr"/>
      <c r="D15" s="3" t="inlineStr"/>
      <c r="E15" s="4" t="n">
        <v>5600</v>
      </c>
      <c r="F15" s="3" t="inlineStr">
        <is>
          <t>кВт</t>
        </is>
      </c>
    </row>
    <row r="16">
      <c r="A16" s="3" t="inlineStr">
        <is>
          <t>Относительная невязка</t>
        </is>
      </c>
      <c r="B16" s="3" t="inlineStr">
        <is>
          <t>Котёл-утилизатор</t>
        </is>
      </c>
      <c r="C16" s="3" t="inlineStr"/>
      <c r="D16" s="3" t="inlineStr"/>
      <c r="E16" s="4" t="n">
        <v>0.04292832502874665</v>
      </c>
      <c r="F16" s="3" t="inlineStr">
        <is>
          <t>доля</t>
        </is>
      </c>
    </row>
    <row r="17">
      <c r="A17" s="3" t="inlineStr">
        <is>
          <t>Отбор теплоты газом</t>
        </is>
      </c>
      <c r="B17" s="3" t="inlineStr"/>
      <c r="C17" s="3" t="inlineStr"/>
      <c r="D17" s="3" t="inlineStr"/>
      <c r="E17" s="4" t="n">
        <v>47600</v>
      </c>
      <c r="F17" s="3" t="inlineStr">
        <is>
          <t>кВт</t>
        </is>
      </c>
    </row>
    <row r="18">
      <c r="A18" s="3" t="inlineStr">
        <is>
          <t>Выработка пара, теплота</t>
        </is>
      </c>
      <c r="B18" s="3" t="inlineStr"/>
      <c r="C18" s="3" t="inlineStr"/>
      <c r="D18" s="3" t="inlineStr"/>
      <c r="E18" s="4" t="n">
        <v>42000</v>
      </c>
      <c r="F18" s="3" t="inlineStr">
        <is>
          <t>кВт</t>
        </is>
      </c>
    </row>
    <row r="19">
      <c r="A19" s="3" t="inlineStr">
        <is>
          <t>Нераспределённое тепло</t>
        </is>
      </c>
      <c r="B19" s="3" t="inlineStr"/>
      <c r="C19" s="3" t="inlineStr"/>
      <c r="D19" s="3" t="inlineStr"/>
      <c r="E19" s="4" t="n">
        <v>5600</v>
      </c>
      <c r="F19" s="3" t="inlineStr">
        <is>
          <t>кВт</t>
        </is>
      </c>
    </row>
    <row r="20">
      <c r="A20" s="3" t="inlineStr">
        <is>
          <t>Тепло CW</t>
        </is>
      </c>
      <c r="B20" s="3" t="inlineStr"/>
      <c r="C20" s="3" t="inlineStr"/>
      <c r="D20" s="3" t="inlineStr"/>
      <c r="E20" s="4" t="n">
        <v>34999.13999999998</v>
      </c>
      <c r="F20" s="3" t="inlineStr">
        <is>
          <t>кВт</t>
        </is>
      </c>
    </row>
    <row r="21">
      <c r="A21" s="3" t="inlineStr">
        <is>
          <t>Расход CW расчётный</t>
        </is>
      </c>
      <c r="B21" s="3" t="inlineStr"/>
      <c r="C21" s="3" t="inlineStr"/>
      <c r="D21" s="3" t="inlineStr"/>
      <c r="E21" s="4" t="n">
        <v>837.2999999999997</v>
      </c>
      <c r="F21" s="3" t="inlineStr">
        <is>
          <t>кг/с</t>
        </is>
      </c>
    </row>
    <row r="22">
      <c r="A22" s="3" t="inlineStr">
        <is>
          <t>Расход пара расчётный</t>
        </is>
      </c>
      <c r="B22" s="3" t="inlineStr"/>
      <c r="C22" s="3" t="inlineStr"/>
      <c r="D22" s="3" t="inlineStr"/>
      <c r="E22" s="4" t="n">
        <v>15</v>
      </c>
      <c r="F22" s="3" t="inlineStr">
        <is>
          <t>кг/с</t>
        </is>
      </c>
    </row>
    <row r="23">
      <c r="A23" s="3" t="inlineStr">
        <is>
          <t>Потенциальный кредит пара</t>
        </is>
      </c>
      <c r="B23" s="3" t="inlineStr"/>
      <c r="C23" s="3" t="inlineStr"/>
      <c r="D23" s="3" t="inlineStr"/>
      <c r="E23" s="4" t="n">
        <v>1188</v>
      </c>
      <c r="F23" s="3" t="inlineStr">
        <is>
          <t>USD/ч</t>
        </is>
      </c>
    </row>
    <row r="24">
      <c r="A24" s="3" t="inlineStr">
        <is>
          <t>Полный OPEX утилит</t>
        </is>
      </c>
      <c r="B24" s="3" t="inlineStr">
        <is>
          <t>НЕ РАССЧИТЫВАЕТСЯ</t>
        </is>
      </c>
      <c r="C24" s="3" t="inlineStr"/>
      <c r="D24" s="3" t="inlineStr"/>
      <c r="E24" s="3" t="inlineStr"/>
      <c r="F24" s="3" t="inlineStr">
        <is>
          <t>W_el аммиачного завода; расход покупного пара; подтверждённый экспорт выработанного пара</t>
        </is>
      </c>
    </row>
  </sheetData>
  <autoFilter ref="A2:F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9" customWidth="1" min="1" max="1"/>
    <col width="20" customWidth="1" min="2" max="2"/>
    <col width="20" customWidth="1" min="3" max="3"/>
    <col width="19" customWidth="1" min="4" max="4"/>
    <col width="20" customWidth="1" min="5" max="5"/>
    <col width="15" customWidth="1" min="6" max="6"/>
    <col width="15" customWidth="1" min="7" max="7"/>
    <col width="20" customWidth="1" min="8" max="8"/>
    <col width="20" customWidth="1" min="9" max="9"/>
    <col width="55" customWidth="1" min="10" max="10"/>
  </cols>
  <sheetData>
    <row r="1" ht="32" customHeight="1">
      <c r="A1" s="1" t="inlineStr">
        <is>
          <t>Эксергия, стоимостные правила и цепочка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5" customHeight="1">
      <c r="A2" s="2" t="inlineStr">
        <is>
          <t>Аппарат / показатель</t>
        </is>
      </c>
      <c r="B2" s="2" t="inlineStr">
        <is>
          <t>Ex_F, МВт</t>
        </is>
      </c>
      <c r="C2" s="2" t="inlineStr">
        <is>
          <t>Ex_P, МВт</t>
        </is>
      </c>
      <c r="D2" s="2" t="inlineStr">
        <is>
          <t>Ex_dest, МВт</t>
        </is>
      </c>
      <c r="E2" s="2" t="inlineStr">
        <is>
          <t>КПД</t>
        </is>
      </c>
      <c r="F2" s="2" t="inlineStr">
        <is>
          <t>Z, USD/ч</t>
        </is>
      </c>
      <c r="G2" s="2" t="inlineStr">
        <is>
          <t>c_F, USD/ГДж</t>
        </is>
      </c>
      <c r="H2" s="2" t="inlineStr">
        <is>
          <t>c_P, USD/ГДж</t>
        </is>
      </c>
      <c r="I2" s="2" t="inlineStr">
        <is>
          <t>f_k</t>
        </is>
      </c>
      <c r="J2" s="2" t="inlineStr">
        <is>
          <t>Рекомендация / примечание</t>
        </is>
      </c>
    </row>
    <row r="3">
      <c r="A3" s="3" t="inlineStr">
        <is>
          <t>Головной компрессор синтез-газа</t>
        </is>
      </c>
      <c r="B3" s="4" t="n">
        <v>50</v>
      </c>
      <c r="C3" s="4" t="n">
        <v>40</v>
      </c>
      <c r="D3" s="4" t="n">
        <v>10</v>
      </c>
      <c r="E3" s="4" t="n">
        <v>0.8</v>
      </c>
      <c r="F3" s="4" t="n">
        <v>120</v>
      </c>
      <c r="G3" s="3" t="inlineStr">
        <is>
          <t>Н/Д</t>
        </is>
      </c>
      <c r="H3" s="3" t="inlineStr">
        <is>
          <t>Н/Д</t>
        </is>
      </c>
      <c r="I3" s="3" t="inlineStr">
        <is>
          <t>Н/Д</t>
        </is>
      </c>
      <c r="J3" s="3" t="inlineStr">
        <is>
          <t>Нет c_F,1 в источнике</t>
        </is>
      </c>
    </row>
    <row r="4">
      <c r="A4" s="3" t="inlineStr">
        <is>
          <t>Трубчатый реактор синтеза аммиака</t>
        </is>
      </c>
      <c r="B4" s="4" t="n">
        <v>40</v>
      </c>
      <c r="C4" s="4" t="n">
        <v>32</v>
      </c>
      <c r="D4" s="4" t="n">
        <v>8</v>
      </c>
      <c r="E4" s="4" t="n">
        <v>0.8</v>
      </c>
      <c r="F4" s="4" t="n">
        <v>250</v>
      </c>
      <c r="G4" s="3" t="inlineStr">
        <is>
          <t>Н/Д</t>
        </is>
      </c>
      <c r="H4" s="3" t="inlineStr">
        <is>
          <t>Н/Д</t>
        </is>
      </c>
      <c r="I4" s="3" t="inlineStr">
        <is>
          <t>Н/Д</t>
        </is>
      </c>
      <c r="J4" s="3" t="inlineStr">
        <is>
          <t>Нет c_F,1 в источнике</t>
        </is>
      </c>
    </row>
    <row r="5">
      <c r="A5" s="3" t="inlineStr">
        <is>
          <t>Котел-утилизатор пара высокого давления</t>
        </is>
      </c>
      <c r="B5" s="4" t="n">
        <v>32</v>
      </c>
      <c r="C5" s="4" t="n">
        <v>25.6</v>
      </c>
      <c r="D5" s="4" t="n">
        <v>6.399999999999999</v>
      </c>
      <c r="E5" s="4" t="n">
        <v>0.8</v>
      </c>
      <c r="F5" s="4" t="n">
        <v>90</v>
      </c>
      <c r="G5" s="3" t="inlineStr">
        <is>
          <t>Н/Д</t>
        </is>
      </c>
      <c r="H5" s="3" t="inlineStr">
        <is>
          <t>Н/Д</t>
        </is>
      </c>
      <c r="I5" s="3" t="inlineStr">
        <is>
          <t>Н/Д</t>
        </is>
      </c>
      <c r="J5" s="3" t="inlineStr">
        <is>
          <t>Нет c_F,1 в источнике</t>
        </is>
      </c>
    </row>
    <row r="6">
      <c r="A6" s="3" t="inlineStr">
        <is>
          <t>Водяной холодильник-конденсатор смеси</t>
        </is>
      </c>
      <c r="B6" s="4" t="n">
        <v>25.6</v>
      </c>
      <c r="C6" s="4" t="n">
        <v>20.48</v>
      </c>
      <c r="D6" s="4" t="n">
        <v>5.119999999999997</v>
      </c>
      <c r="E6" s="4" t="n">
        <v>0.8</v>
      </c>
      <c r="F6" s="4" t="n">
        <v>60</v>
      </c>
      <c r="G6" s="3" t="inlineStr">
        <is>
          <t>Н/Д</t>
        </is>
      </c>
      <c r="H6" s="3" t="inlineStr">
        <is>
          <t>Н/Д</t>
        </is>
      </c>
      <c r="I6" s="3" t="inlineStr">
        <is>
          <t>Н/Д</t>
        </is>
      </c>
      <c r="J6" s="3" t="inlineStr">
        <is>
          <t>Нет c_F,1 в источнике</t>
        </is>
      </c>
    </row>
    <row r="7">
      <c r="A7" s="3" t="inlineStr">
        <is>
          <t>Сепаратор аммиака и рециркуляционный компрессор</t>
        </is>
      </c>
      <c r="B7" s="4" t="n">
        <v>20.48</v>
      </c>
      <c r="C7" s="4" t="n">
        <v>16.384</v>
      </c>
      <c r="D7" s="4" t="n">
        <v>4.096</v>
      </c>
      <c r="E7" s="4" t="n">
        <v>0.8</v>
      </c>
      <c r="F7" s="4" t="n">
        <v>110</v>
      </c>
      <c r="G7" s="3" t="inlineStr">
        <is>
          <t>Н/Д</t>
        </is>
      </c>
      <c r="H7" s="3" t="inlineStr">
        <is>
          <t>Н/Д</t>
        </is>
      </c>
      <c r="I7" s="3" t="inlineStr">
        <is>
          <t>Н/Д</t>
        </is>
      </c>
      <c r="J7" s="3" t="inlineStr">
        <is>
          <t>Нет c_F,1 в источнике</t>
        </is>
      </c>
    </row>
    <row r="8">
      <c r="A8" s="3" t="inlineStr">
        <is>
          <t>Турбина CHP</t>
        </is>
      </c>
      <c r="B8" s="4" t="n">
        <v>40</v>
      </c>
      <c r="C8" s="4" t="n">
        <v>38</v>
      </c>
      <c r="D8" s="4" t="n">
        <v>2</v>
      </c>
      <c r="E8" s="4" t="n">
        <v>0.95</v>
      </c>
      <c r="F8" s="4" t="n">
        <v>180</v>
      </c>
      <c r="G8" s="4" t="n">
        <v>12</v>
      </c>
      <c r="H8" s="4" t="n">
        <v>13.94736842105263</v>
      </c>
      <c r="I8" s="4" t="n">
        <v>0.6756756756756758</v>
      </c>
      <c r="J8" s="3" t="inlineStr">
        <is>
          <t>сбалансированная зона; требуется детальный анализ</t>
        </is>
      </c>
    </row>
    <row r="9">
      <c r="A9" s="3" t="inlineStr">
        <is>
          <t>F-rule: электроэнергия</t>
        </is>
      </c>
      <c r="B9" s="3" t="inlineStr"/>
      <c r="C9" s="3" t="inlineStr"/>
      <c r="D9" s="3" t="inlineStr"/>
      <c r="E9" s="3" t="inlineStr"/>
      <c r="F9" s="3" t="inlineStr"/>
      <c r="G9" s="3" t="inlineStr"/>
      <c r="H9" s="4" t="n">
        <v>19.4</v>
      </c>
      <c r="I9" s="3" t="inlineStr"/>
      <c r="J9" s="3" t="inlineStr">
        <is>
          <t>Стоимость остаточного LP-пара равна стоимости HP-пара</t>
        </is>
      </c>
    </row>
    <row r="10">
      <c r="A10" s="3" t="inlineStr">
        <is>
          <t>P-rule: оба продукта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4" t="n">
        <v>13.94736842105263</v>
      </c>
      <c r="I10" s="3" t="inlineStr"/>
      <c r="J10" s="3" t="inlineStr">
        <is>
          <t>Одинаковая удельная стоимость</t>
        </is>
      </c>
    </row>
    <row r="11">
      <c r="A11" s="3" t="inlineStr">
        <is>
          <t>Цепочка: множитель сырья</t>
        </is>
      </c>
      <c r="B11" s="3" t="inlineStr"/>
      <c r="C11" s="3" t="inlineStr"/>
      <c r="D11" s="3" t="inlineStr"/>
      <c r="E11" s="4" t="n">
        <v>3.0517578125</v>
      </c>
      <c r="F11" s="3" t="inlineStr"/>
      <c r="G11" s="3" t="inlineStr"/>
      <c r="H11" s="3" t="inlineStr"/>
      <c r="I11" s="3" t="inlineStr"/>
      <c r="J11" s="3" t="inlineStr">
        <is>
          <t>без c_F,1</t>
        </is>
      </c>
    </row>
    <row r="12">
      <c r="A12" s="3" t="inlineStr">
        <is>
          <t>Цепочка: база</t>
        </is>
      </c>
      <c r="B12" s="3" t="inlineStr"/>
      <c r="C12" s="4" t="n">
        <v>16.384</v>
      </c>
      <c r="D12" s="3" t="inlineStr"/>
      <c r="E12" s="4" t="n">
        <v>3.0517578125</v>
      </c>
      <c r="F12" s="3" t="inlineStr"/>
      <c r="G12" s="3" t="inlineStr"/>
      <c r="H12" s="4" t="n">
        <v>10.68115234375</v>
      </c>
      <c r="I12" s="3" t="inlineStr"/>
      <c r="J12" s="3" t="inlineStr">
        <is>
          <t>c_P,N = A·c_F,1 + B</t>
        </is>
      </c>
    </row>
    <row r="13">
      <c r="A13" s="3" t="inlineStr">
        <is>
          <t>Цепочка: ухудшение 1-го</t>
        </is>
      </c>
      <c r="B13" s="3" t="inlineStr"/>
      <c r="C13" s="4" t="n">
        <v>15.5648</v>
      </c>
      <c r="D13" s="3" t="inlineStr"/>
      <c r="E13" s="4" t="n">
        <v>3.212376644736842</v>
      </c>
      <c r="F13" s="3" t="inlineStr"/>
      <c r="G13" s="3" t="inlineStr"/>
      <c r="H13" s="4" t="n">
        <v>11.24331825657895</v>
      </c>
      <c r="I13" s="3" t="inlineStr"/>
      <c r="J13" s="3" t="inlineStr">
        <is>
          <t>c_P,N = A·c_F,1 + B</t>
        </is>
      </c>
    </row>
    <row r="14">
      <c r="A14" s="3" t="inlineStr">
        <is>
          <t>Цепочка: ухудшение 5-го</t>
        </is>
      </c>
      <c r="B14" s="3" t="inlineStr"/>
      <c r="C14" s="4" t="n">
        <v>15.5648</v>
      </c>
      <c r="D14" s="3" t="inlineStr"/>
      <c r="E14" s="4" t="n">
        <v>3.212376644736842</v>
      </c>
      <c r="F14" s="3" t="inlineStr"/>
      <c r="G14" s="3" t="inlineStr"/>
      <c r="H14" s="4" t="n">
        <v>11.24331825657895</v>
      </c>
      <c r="I14" s="3" t="inlineStr"/>
      <c r="J14" s="3" t="inlineStr">
        <is>
          <t>c_P,N = A·c_F,1 + B</t>
        </is>
      </c>
    </row>
    <row r="15">
      <c r="A15" s="3" t="inlineStr">
        <is>
          <t>Физическая эксергия потоков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>
        <is>
          <t>h0, s0 для каждого состава потока при T0, P0</t>
        </is>
      </c>
    </row>
  </sheetData>
  <autoFilter ref="A2:J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30" customWidth="1" min="2" max="2"/>
    <col width="20" customWidth="1" min="3" max="3"/>
    <col width="32" customWidth="1" min="4" max="4"/>
    <col width="30" customWidth="1" min="5" max="5"/>
    <col width="19" customWidth="1" min="6" max="6"/>
  </cols>
  <sheetData>
    <row r="1" ht="32" customHeight="1">
      <c r="A1" s="1" t="inlineStr">
        <is>
          <t>Чувствительность OPEX к тарифам</t>
        </is>
      </c>
      <c r="B1" s="1" t="n"/>
      <c r="C1" s="1" t="n"/>
      <c r="D1" s="1" t="n"/>
      <c r="E1" s="1" t="n"/>
      <c r="F1" s="1" t="n"/>
    </row>
    <row r="2" ht="35" customHeight="1">
      <c r="A2" s="2" t="inlineStr">
        <is>
          <t>Цена газа, USD/ГДж</t>
        </is>
      </c>
      <c r="B2" s="2" t="inlineStr">
        <is>
          <t>Себестоимость аммиака, USD/т</t>
        </is>
      </c>
      <c r="C2" s="2" t="inlineStr">
        <is>
          <t>Годовой OPEX, USD</t>
        </is>
      </c>
      <c r="D2" s="2" t="inlineStr">
        <is>
          <t>Тариф электричества, USD/кВт·ч</t>
        </is>
      </c>
      <c r="E2" s="2" t="inlineStr">
        <is>
          <t>Себестоимость аммиака, USD/т</t>
        </is>
      </c>
      <c r="F2" s="2" t="inlineStr">
        <is>
          <t>Годовой OPEX, USD</t>
        </is>
      </c>
    </row>
    <row r="3">
      <c r="A3" s="4" t="n">
        <v>4</v>
      </c>
      <c r="B3" s="4" t="n">
        <v>235.6</v>
      </c>
      <c r="C3" s="4" t="n">
        <v>117800000</v>
      </c>
      <c r="D3" s="4" t="n">
        <v>0.035</v>
      </c>
      <c r="E3" s="4" t="n">
        <v>342.35</v>
      </c>
      <c r="F3" s="4" t="n">
        <v>171175000</v>
      </c>
    </row>
    <row r="4">
      <c r="A4" s="4" t="n">
        <v>5</v>
      </c>
      <c r="B4" s="4" t="n">
        <v>263.6</v>
      </c>
      <c r="C4" s="4" t="n">
        <v>131800000</v>
      </c>
      <c r="D4" s="4" t="n">
        <v>0.0525</v>
      </c>
      <c r="E4" s="4" t="n">
        <v>344.975</v>
      </c>
      <c r="F4" s="4" t="n">
        <v>172487500</v>
      </c>
    </row>
    <row r="5">
      <c r="A5" s="4" t="n">
        <v>6</v>
      </c>
      <c r="B5" s="4" t="n">
        <v>291.6</v>
      </c>
      <c r="C5" s="4" t="n">
        <v>145800000</v>
      </c>
      <c r="D5" s="4" t="n">
        <v>0.07000000000000001</v>
      </c>
      <c r="E5" s="4" t="n">
        <v>347.6</v>
      </c>
      <c r="F5" s="4" t="n">
        <v>173800000</v>
      </c>
    </row>
    <row r="6">
      <c r="A6" s="4" t="n">
        <v>7</v>
      </c>
      <c r="B6" s="4" t="n">
        <v>319.6</v>
      </c>
      <c r="C6" s="4" t="n">
        <v>159800000</v>
      </c>
      <c r="D6" s="4" t="n">
        <v>0.08750000000000001</v>
      </c>
      <c r="E6" s="4" t="n">
        <v>350.225</v>
      </c>
      <c r="F6" s="4" t="n">
        <v>175112500</v>
      </c>
    </row>
    <row r="7">
      <c r="A7" s="4" t="n">
        <v>8</v>
      </c>
      <c r="B7" s="4" t="n">
        <v>347.6</v>
      </c>
      <c r="C7" s="4" t="n">
        <v>173800000</v>
      </c>
      <c r="D7" s="4" t="n">
        <v>0.105</v>
      </c>
      <c r="E7" s="4" t="n">
        <v>352.85</v>
      </c>
      <c r="F7" s="4" t="n">
        <v>176425000</v>
      </c>
    </row>
    <row r="8">
      <c r="A8" s="4" t="n">
        <v>9</v>
      </c>
      <c r="B8" s="4" t="n">
        <v>375.6</v>
      </c>
      <c r="C8" s="4" t="n">
        <v>187800000</v>
      </c>
      <c r="D8" s="3" t="n"/>
      <c r="E8" s="3" t="n"/>
      <c r="F8" s="3" t="n"/>
    </row>
    <row r="9">
      <c r="A9" s="4" t="n">
        <v>10</v>
      </c>
      <c r="B9" s="4" t="n">
        <v>403.6</v>
      </c>
      <c r="C9" s="4" t="n">
        <v>201800000</v>
      </c>
      <c r="D9" s="3" t="n"/>
      <c r="E9" s="3" t="n"/>
      <c r="F9" s="3" t="n"/>
    </row>
    <row r="10">
      <c r="A10" s="4" t="n">
        <v>11</v>
      </c>
      <c r="B10" s="4" t="n">
        <v>431.6</v>
      </c>
      <c r="C10" s="4" t="n">
        <v>215800000</v>
      </c>
      <c r="D10" s="3" t="n"/>
      <c r="E10" s="3" t="n"/>
      <c r="F10" s="3" t="n"/>
    </row>
    <row r="11">
      <c r="A11" s="4" t="n">
        <v>12</v>
      </c>
      <c r="B11" s="4" t="n">
        <v>459.6</v>
      </c>
      <c r="C11" s="4" t="n">
        <v>229800000</v>
      </c>
      <c r="D11" s="3" t="n"/>
      <c r="E11" s="3" t="n"/>
      <c r="F11" s="3" t="n"/>
    </row>
    <row r="12">
      <c r="A12" s="4" t="n">
        <v>13</v>
      </c>
      <c r="B12" s="4" t="n">
        <v>487.6</v>
      </c>
      <c r="C12" s="4" t="n">
        <v>243800000</v>
      </c>
      <c r="D12" s="3" t="n"/>
      <c r="E12" s="3" t="n"/>
      <c r="F12" s="3" t="n"/>
    </row>
    <row r="13">
      <c r="A13" s="4" t="n">
        <v>14</v>
      </c>
      <c r="B13" s="4" t="n">
        <v>515.6</v>
      </c>
      <c r="C13" s="4" t="n">
        <v>257800000</v>
      </c>
      <c r="D13" s="3" t="n"/>
      <c r="E13" s="3" t="n"/>
      <c r="F13" s="3" t="n"/>
    </row>
    <row r="14">
      <c r="A14" s="4" t="n">
        <v>15</v>
      </c>
      <c r="B14" s="4" t="n">
        <v>543.6</v>
      </c>
      <c r="C14" s="4" t="n">
        <v>271800000</v>
      </c>
      <c r="D14" s="3" t="n"/>
      <c r="E14" s="3" t="n"/>
      <c r="F14" s="3" t="n"/>
    </row>
    <row r="15">
      <c r="A15" s="4" t="n">
        <v>16</v>
      </c>
      <c r="B15" s="4" t="n">
        <v>571.6</v>
      </c>
      <c r="C15" s="4" t="n">
        <v>285800000</v>
      </c>
      <c r="D15" s="3" t="n"/>
      <c r="E15" s="3" t="n"/>
      <c r="F15" s="3" t="n"/>
    </row>
  </sheetData>
  <autoFilter ref="A2:F1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2026-09-26T09:58:03Z</dcterms:created>
  <dcterms:modified xmlns:dcterms="http://purl.org/dc/terms/" xmlns:xsi="http://www.w3.org/2001/XMLSchema-instance" xsi:type="dcterms:W3CDTF">2026-09-26T09:58:03Z</dcterms:modified>
</cp:coreProperties>
</file>