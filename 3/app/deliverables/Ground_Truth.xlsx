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Downtime" sheetId="3" state="visible" r:id="rId3"/>
    <sheet xmlns:r="http://schemas.openxmlformats.org/officeDocument/2006/relationships" name="Redundancy" sheetId="4" state="visible" r:id="rId4"/>
    <sheet xmlns:r="http://schemas.openxmlformats.org/officeDocument/2006/relationships" name="Frechet" sheetId="5" state="visible" r:id="rId5"/>
    <sheet xmlns:r="http://schemas.openxmlformats.org/officeDocument/2006/relationships" name="Cross_Check" sheetId="6" state="visible" r:id="rId6"/>
  </sheets>
  <definedNames>
    <definedName name="_xlnm._FilterDatabase" localSheetId="0" hidden="1">'Inputs'!$A$1:$D$15</definedName>
    <definedName name="_xlnm._FilterDatabase" localSheetId="1" hidden="1">'Baseline'!$A$1:$C$6</definedName>
    <definedName name="_xlnm._FilterDatabase" localSheetId="2" hidden="1">'Downtime'!$A$1:$C$3</definedName>
    <definedName name="_xlnm._FilterDatabase" localSheetId="3" hidden="1">'Redundancy'!$A$1:$C$8</definedName>
    <definedName name="_xlnm._FilterDatabase" localSheetId="4" hidden="1">'Frechet'!$A$1:$F$5</definedName>
    <definedName name="_xlnm._FilterDatabase" localSheetId="5" hidden="1">'Cross_Check'!$A$1:$C$9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1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 file / field</t>
        </is>
      </c>
      <c r="D1" s="1" t="inlineStr">
        <is>
          <t>Unit</t>
        </is>
      </c>
    </row>
    <row r="2">
      <c r="A2" t="inlineStr">
        <is>
          <t>Node_1_PGM</t>
        </is>
      </c>
      <c r="B2" t="n">
        <v>0.95</v>
      </c>
      <c r="C2" t="inlineStr">
        <is>
          <t>variant_b_nodes_parameters.csv:Node_1_PGM:Reliability_R</t>
        </is>
      </c>
      <c r="D2" t="inlineStr">
        <is>
          <t>probability</t>
        </is>
      </c>
    </row>
    <row r="3">
      <c r="A3" t="inlineStr">
        <is>
          <t>Node_2_UltraPure_HF_Main</t>
        </is>
      </c>
      <c r="B3" t="n">
        <v>0.92</v>
      </c>
      <c r="C3" t="inlineStr">
        <is>
          <t>variant_b_nodes_parameters.csv:Node_2_UltraPure_HF_Main:Reliability_R</t>
        </is>
      </c>
      <c r="D3" t="inlineStr">
        <is>
          <t>probability</t>
        </is>
      </c>
    </row>
    <row r="4">
      <c r="A4" t="inlineStr">
        <is>
          <t>Node_3_Monomer</t>
        </is>
      </c>
      <c r="B4" t="n">
        <v>0.98</v>
      </c>
      <c r="C4" t="inlineStr">
        <is>
          <t>variant_b_nodes_parameters.csv:Node_3_Monomer:Reliability_R</t>
        </is>
      </c>
      <c r="D4" t="inlineStr">
        <is>
          <t>probability</t>
        </is>
      </c>
    </row>
    <row r="5">
      <c r="A5" t="inlineStr">
        <is>
          <t>Node_4_Liquid_Nitrogen</t>
        </is>
      </c>
      <c r="B5" t="n">
        <v>0.96</v>
      </c>
      <c r="C5" t="inlineStr">
        <is>
          <t>variant_b_nodes_parameters.csv:Node_4_Liquid_Nitrogen:Reliability_R</t>
        </is>
      </c>
      <c r="D5" t="inlineStr">
        <is>
          <t>probability</t>
        </is>
      </c>
    </row>
    <row r="6">
      <c r="A6" t="inlineStr">
        <is>
          <t>Node_5_Membrane_Reactor</t>
        </is>
      </c>
      <c r="B6" t="n">
        <v>0.9399999999999999</v>
      </c>
      <c r="C6" t="inlineStr">
        <is>
          <t>variant_b_nodes_parameters.csv:Node_5_Membrane_Reactor:Reliability_R</t>
        </is>
      </c>
      <c r="D6" t="inlineStr">
        <is>
          <t>probability</t>
        </is>
      </c>
    </row>
    <row r="7">
      <c r="A7" t="inlineStr">
        <is>
          <t>C_day</t>
        </is>
      </c>
      <c r="B7" t="n">
        <v>8</v>
      </c>
      <c r="C7" t="inlineStr">
        <is>
          <t>variant_b_financial_parameters.csv:C_day</t>
        </is>
      </c>
      <c r="D7" t="inlineStr">
        <is>
          <t>USD m/day</t>
        </is>
      </c>
    </row>
    <row r="8">
      <c r="A8" t="inlineStr">
        <is>
          <t>C_scrap</t>
        </is>
      </c>
      <c r="B8" t="n">
        <v>4</v>
      </c>
      <c r="C8" t="inlineStr">
        <is>
          <t>variant_b_financial_parameters.csv:C_scrap</t>
        </is>
      </c>
      <c r="D8" t="inlineStr">
        <is>
          <t>USD m/incident</t>
        </is>
      </c>
    </row>
    <row r="9">
      <c r="A9" t="inlineStr">
        <is>
          <t>lognorm_mu</t>
        </is>
      </c>
      <c r="B9" t="n">
        <v>2.0794</v>
      </c>
      <c r="C9" t="inlineStr">
        <is>
          <t>variant_b_financial_parameters.csv:Lognormal_mu</t>
        </is>
      </c>
      <c r="D9" t="inlineStr">
        <is>
          <t>log days</t>
        </is>
      </c>
    </row>
    <row r="10">
      <c r="A10" t="inlineStr">
        <is>
          <t>lognorm_sigma</t>
        </is>
      </c>
      <c r="B10" t="n">
        <v>0.55</v>
      </c>
      <c r="C10" t="inlineStr">
        <is>
          <t>variant_b_financial_parameters.csv:Lognormal_sigma</t>
        </is>
      </c>
      <c r="D10" t="inlineStr">
        <is>
          <t>dimensionless</t>
        </is>
      </c>
    </row>
    <row r="11">
      <c r="A11" t="inlineStr">
        <is>
          <t>HF_backup_R</t>
        </is>
      </c>
      <c r="B11" t="n">
        <v>0.9</v>
      </c>
      <c r="C11" t="inlineStr">
        <is>
          <t>variant_b_nodes_parameters.csv:HF_Backup:Reliability_R</t>
        </is>
      </c>
      <c r="D11" t="inlineStr">
        <is>
          <t>probability</t>
        </is>
      </c>
    </row>
    <row r="12">
      <c r="A12" t="inlineStr">
        <is>
          <t>CAPEX</t>
        </is>
      </c>
      <c r="B12" t="n">
        <v>6</v>
      </c>
      <c r="C12" t="inlineStr">
        <is>
          <t>variant_b_redundancy_tco.csv:CAPEX_qual</t>
        </is>
      </c>
      <c r="D12" t="inlineStr">
        <is>
          <t>USD m</t>
        </is>
      </c>
    </row>
    <row r="13">
      <c r="A13" t="inlineStr">
        <is>
          <t>r_amor</t>
        </is>
      </c>
      <c r="B13" t="n">
        <v>0.3333</v>
      </c>
      <c r="C13" t="inlineStr">
        <is>
          <t>variant_b_redundancy_tco.csv:r_amor</t>
        </is>
      </c>
      <c r="D13" t="inlineStr">
        <is>
          <t>1/year</t>
        </is>
      </c>
    </row>
    <row r="14">
      <c r="A14" t="inlineStr">
        <is>
          <t>audit</t>
        </is>
      </c>
      <c r="B14" t="n">
        <v>0.4</v>
      </c>
      <c r="C14" t="inlineStr">
        <is>
          <t>variant_b_redundancy_tco.csv:OPEX_audit</t>
        </is>
      </c>
      <c r="D14" t="inlineStr">
        <is>
          <t>USD m/year</t>
        </is>
      </c>
    </row>
    <row r="15">
      <c r="A15" t="inlineStr">
        <is>
          <t>procurement</t>
        </is>
      </c>
      <c r="B15" t="n">
        <v>0.6</v>
      </c>
      <c r="C15" t="inlineStr">
        <is>
          <t>variant_b_redundancy_tco.csv:Delta_C_proc</t>
        </is>
      </c>
      <c r="D15" t="inlineStr">
        <is>
          <t>USD m/year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Unit</t>
        </is>
      </c>
    </row>
    <row r="2">
      <c r="A2" t="inlineStr">
        <is>
          <t>R_sys</t>
        </is>
      </c>
      <c r="B2">
        <f>PRODUCT(Inputs!B2:B6)</f>
        <v/>
      </c>
      <c r="C2" t="inlineStr">
        <is>
          <t>probability</t>
        </is>
      </c>
    </row>
    <row r="3">
      <c r="A3" t="inlineStr">
        <is>
          <t>P_fail</t>
        </is>
      </c>
      <c r="B3">
        <f>1-B2</f>
        <v/>
      </c>
      <c r="C3" t="inlineStr">
        <is>
          <t>probability</t>
        </is>
      </c>
    </row>
    <row r="4">
      <c r="A4" t="inlineStr">
        <is>
          <t>Impact_med</t>
        </is>
      </c>
      <c r="B4">
        <f>Inputs!B7*Downtime!B2+Inputs!B8</f>
        <v/>
      </c>
      <c r="C4" t="inlineStr">
        <is>
          <t>USD m/incident</t>
        </is>
      </c>
    </row>
    <row r="5">
      <c r="A5" t="inlineStr">
        <is>
          <t>EL_med</t>
        </is>
      </c>
      <c r="B5">
        <f>B3*B4</f>
        <v/>
      </c>
      <c r="C5" t="inlineStr">
        <is>
          <t>USD m/year</t>
        </is>
      </c>
    </row>
    <row r="6">
      <c r="A6" t="inlineStr">
        <is>
          <t>EL_lognorm</t>
        </is>
      </c>
      <c r="B6">
        <f>B3*(Inputs!B7*Downtime!B3+Inputs!B8)</f>
        <v/>
      </c>
      <c r="C6" t="inlineStr">
        <is>
          <t>USD m/year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Unit</t>
        </is>
      </c>
    </row>
    <row r="2">
      <c r="A2" t="inlineStr">
        <is>
          <t>Median</t>
        </is>
      </c>
      <c r="B2">
        <f>EXP(Inputs!B9)</f>
        <v/>
      </c>
      <c r="C2" t="inlineStr">
        <is>
          <t>days</t>
        </is>
      </c>
    </row>
    <row r="3">
      <c r="A3" t="inlineStr">
        <is>
          <t>Mean</t>
        </is>
      </c>
      <c r="B3">
        <f>EXP(Inputs!B9+Inputs!B10^2/2)</f>
        <v/>
      </c>
      <c r="C3" t="inlineStr">
        <is>
          <t>days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3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Unit</t>
        </is>
      </c>
    </row>
    <row r="2">
      <c r="A2" t="inlineStr">
        <is>
          <t>R_HF_independent</t>
        </is>
      </c>
      <c r="B2">
        <f>1-(1-Inputs!B3)*(1-Inputs!B11)</f>
        <v/>
      </c>
      <c r="C2" t="inlineStr">
        <is>
          <t>probability</t>
        </is>
      </c>
    </row>
    <row r="3">
      <c r="A3" t="inlineStr">
        <is>
          <t>R_sys_dual</t>
        </is>
      </c>
      <c r="B3">
        <f>Inputs!B2*B2*PRODUCT(Inputs!B4:B6)</f>
        <v/>
      </c>
      <c r="C3" t="inlineStr">
        <is>
          <t>probability</t>
        </is>
      </c>
    </row>
    <row r="4">
      <c r="A4" t="inlineStr">
        <is>
          <t>P_fail_dual</t>
        </is>
      </c>
      <c r="B4">
        <f>1-B3</f>
        <v/>
      </c>
      <c r="C4" t="inlineStr">
        <is>
          <t>probability</t>
        </is>
      </c>
    </row>
    <row r="5">
      <c r="A5" t="inlineStr">
        <is>
          <t>TCO_annual</t>
        </is>
      </c>
      <c r="B5">
        <f>Inputs!B12*Inputs!B13+Inputs!B14+Inputs!B15</f>
        <v/>
      </c>
      <c r="C5" t="inlineStr">
        <is>
          <t>USD m/year</t>
        </is>
      </c>
    </row>
    <row r="6">
      <c r="A6" t="inlineStr">
        <is>
          <t>Avoided_EL_lognorm</t>
        </is>
      </c>
      <c r="B6">
        <f>(B3-Baseline!B2)*(Inputs!B7*Downtime!B3+Inputs!B8)</f>
        <v/>
      </c>
      <c r="C6" t="inlineStr">
        <is>
          <t>USD m/year</t>
        </is>
      </c>
    </row>
    <row r="7">
      <c r="A7" t="inlineStr">
        <is>
          <t>Net_effect</t>
        </is>
      </c>
      <c r="B7">
        <f>B6-B5</f>
        <v/>
      </c>
      <c r="C7" t="inlineStr">
        <is>
          <t>USD m/year</t>
        </is>
      </c>
    </row>
    <row r="8">
      <c r="A8" t="inlineStr">
        <is>
          <t>ROI</t>
        </is>
      </c>
      <c r="B8">
        <f>B7/B5</f>
        <v/>
      </c>
      <c r="C8" t="inlineStr">
        <is>
          <t>ratio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Pair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rho_min</t>
        </is>
      </c>
      <c r="E1" s="1" t="inlineStr">
        <is>
          <t>rho_max</t>
        </is>
      </c>
      <c r="F1" s="1" t="inlineStr">
        <is>
          <t>Source</t>
        </is>
      </c>
    </row>
    <row r="2">
      <c r="A2" t="inlineStr">
        <is>
          <t>Node_1_PGM / Node_2_UltraPure_HF_Main</t>
        </is>
      </c>
      <c r="B2" t="n">
        <v>0.95</v>
      </c>
      <c r="C2" t="n">
        <v>0.92</v>
      </c>
      <c r="D2">
        <f>(MAX(0,(1-B2)+(1-C2)-1)-(1-B2)*(1-C2))/SQRT(B2*(1-B2)*C2*(1-C2))</f>
        <v/>
      </c>
      <c r="E2">
        <f>(MIN(1-B2,1-C2)-(1-B2)*(1-C2))/SQRT(B2*(1-B2)*C2*(1-C2))</f>
        <v/>
      </c>
      <c r="F2" t="inlineStr">
        <is>
          <t>variant_b_frechet_bounds.csv; formula lecture 5 pp. 10, 20</t>
        </is>
      </c>
    </row>
    <row r="3">
      <c r="A3" t="inlineStr">
        <is>
          <t>Node_2_UltraPure_HF_Main / Node_2_UltraPure_HF_Backup</t>
        </is>
      </c>
      <c r="B3" t="n">
        <v>0.92</v>
      </c>
      <c r="C3" t="n">
        <v>0.9</v>
      </c>
      <c r="D3">
        <f>(MAX(0,(1-B3)+(1-C3)-1)-(1-B3)*(1-C3))/SQRT(B3*(1-B3)*C3*(1-C3))</f>
        <v/>
      </c>
      <c r="E3">
        <f>(MIN(1-B3,1-C3)-(1-B3)*(1-C3))/SQRT(B3*(1-B3)*C3*(1-C3))</f>
        <v/>
      </c>
      <c r="F3" t="inlineStr">
        <is>
          <t>variant_b_frechet_bounds.csv; formula lecture 5 pp. 10, 20</t>
        </is>
      </c>
    </row>
    <row r="4">
      <c r="A4" t="inlineStr">
        <is>
          <t>Node_3_Monomer / Node_4_Liquid_Nitrogen</t>
        </is>
      </c>
      <c r="B4" t="n">
        <v>0.98</v>
      </c>
      <c r="C4" t="n">
        <v>0.96</v>
      </c>
      <c r="D4">
        <f>(MAX(0,(1-B4)+(1-C4)-1)-(1-B4)*(1-C4))/SQRT(B4*(1-B4)*C4*(1-C4))</f>
        <v/>
      </c>
      <c r="E4">
        <f>(MIN(1-B4,1-C4)-(1-B4)*(1-C4))/SQRT(B4*(1-B4)*C4*(1-C4))</f>
        <v/>
      </c>
      <c r="F4" t="inlineStr">
        <is>
          <t>variant_b_frechet_bounds.csv; formula lecture 5 pp. 10, 20</t>
        </is>
      </c>
    </row>
    <row r="5">
      <c r="A5" t="inlineStr">
        <is>
          <t>Node_1_PGM / Node_5_Membrane_Reactor</t>
        </is>
      </c>
      <c r="B5" t="n">
        <v>0.95</v>
      </c>
      <c r="C5" t="n">
        <v>0.9399999999999999</v>
      </c>
      <c r="D5">
        <f>(MAX(0,(1-B5)+(1-C5)-1)-(1-B5)*(1-C5))/SQRT(B5*(1-B5)*C5*(1-C5))</f>
        <v/>
      </c>
      <c r="E5">
        <f>(MIN(1-B5,1-C5)-(1-B5)*(1-C5))/SQRT(B5*(1-B5)*C5*(1-C5))</f>
        <v/>
      </c>
      <c r="F5" t="inlineStr">
        <is>
          <t>variant_b_frechet_bounds.csv; formula lecture 5 pp. 10, 20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Excel formula link</t>
        </is>
      </c>
      <c r="C1" s="1" t="inlineStr">
        <is>
          <t>Unit</t>
        </is>
      </c>
    </row>
    <row r="2">
      <c r="A2" t="inlineStr">
        <is>
          <t>R_sys</t>
        </is>
      </c>
      <c r="B2">
        <f>Baseline!B2</f>
        <v/>
      </c>
      <c r="C2" t="inlineStr">
        <is>
          <t>probability</t>
        </is>
      </c>
    </row>
    <row r="3">
      <c r="A3" t="inlineStr">
        <is>
          <t>P_fail</t>
        </is>
      </c>
      <c r="B3">
        <f>Baseline!B3</f>
        <v/>
      </c>
      <c r="C3" t="inlineStr">
        <is>
          <t>probability</t>
        </is>
      </c>
    </row>
    <row r="4">
      <c r="A4" t="inlineStr">
        <is>
          <t>t_med</t>
        </is>
      </c>
      <c r="B4">
        <f>Downtime!B2</f>
        <v/>
      </c>
      <c r="C4" t="inlineStr">
        <is>
          <t>days</t>
        </is>
      </c>
    </row>
    <row r="5">
      <c r="A5" t="inlineStr">
        <is>
          <t>E_T</t>
        </is>
      </c>
      <c r="B5">
        <f>Downtime!B3</f>
        <v/>
      </c>
      <c r="C5" t="inlineStr">
        <is>
          <t>days</t>
        </is>
      </c>
    </row>
    <row r="6">
      <c r="A6" t="inlineStr">
        <is>
          <t>EL_med</t>
        </is>
      </c>
      <c r="B6">
        <f>Baseline!B5</f>
        <v/>
      </c>
      <c r="C6" t="inlineStr">
        <is>
          <t>USD m/year</t>
        </is>
      </c>
    </row>
    <row r="7">
      <c r="A7" t="inlineStr">
        <is>
          <t>EL_lognorm</t>
        </is>
      </c>
      <c r="B7">
        <f>Baseline!B6</f>
        <v/>
      </c>
      <c r="C7" t="inlineStr">
        <is>
          <t>USD m/year</t>
        </is>
      </c>
    </row>
    <row r="8">
      <c r="A8" t="inlineStr">
        <is>
          <t>R_sys_dual</t>
        </is>
      </c>
      <c r="B8">
        <f>Redundancy!B3</f>
        <v/>
      </c>
      <c r="C8" t="inlineStr">
        <is>
          <t>probability</t>
        </is>
      </c>
    </row>
    <row r="9">
      <c r="A9" t="inlineStr">
        <is>
          <t>TCO</t>
        </is>
      </c>
      <c r="B9">
        <f>Redundancy!B5</f>
        <v/>
      </c>
      <c r="C9" t="inlineStr">
        <is>
          <t>USD m/year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2026-10-11T09:39:23Z</dcterms:created>
  <dcterms:modified xmlns:dcterms="http://purl.org/dc/terms/" xmlns:xsi="http://www.w3.org/2001/XMLSchema-instance" xsi:type="dcterms:W3CDTF">2026-10-11T09:39:23Z</dcterms:modified>
</cp:coreProperties>
</file>